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" sheetId="1" state="visible" r:id="rId1"/>
    <sheet name="Seviye" sheetId="2" state="visible" r:id="rId2"/>
    <sheet name="Fabri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Tür</t>
        </is>
      </c>
      <c r="B1" s="1" t="inlineStr">
        <is>
          <t>s (sn/parça)</t>
        </is>
      </c>
      <c r="C1" s="1" t="inlineStr">
        <is>
          <t>P (süre payı)</t>
        </is>
      </c>
      <c r="D1" s="1" t="inlineStr">
        <is>
          <t>Bomba payı</t>
        </is>
      </c>
      <c r="E1" s="1" t="inlineStr">
        <is>
          <t>Çivi payı 1</t>
        </is>
      </c>
      <c r="F1" s="1" t="inlineStr">
        <is>
          <t>Çivi payı 2</t>
        </is>
      </c>
      <c r="G1" s="1" t="inlineStr">
        <is>
          <t>İlk deneme hedefi</t>
        </is>
      </c>
      <c r="H1" s="1" t="inlineStr">
        <is>
          <t>Near-miss hedefi</t>
        </is>
      </c>
    </row>
    <row r="2">
      <c r="A2" t="inlineStr">
        <is>
          <t>Tanıtım</t>
        </is>
      </c>
      <c r="B2" t="n">
        <v>1.1</v>
      </c>
      <c r="C2" t="n">
        <v>2.2</v>
      </c>
      <c r="D2" t="n">
        <v>10</v>
      </c>
      <c r="E2" t="n">
        <v>0.225</v>
      </c>
      <c r="F2" t="n">
        <v>0.225</v>
      </c>
      <c r="G2" t="inlineStr">
        <is>
          <t>≥ %95</t>
        </is>
      </c>
      <c r="H2" t="inlineStr">
        <is>
          <t>%0–5</t>
        </is>
      </c>
    </row>
    <row r="3">
      <c r="A3" t="inlineStr">
        <is>
          <t>Nefes</t>
        </is>
      </c>
      <c r="B3" t="n">
        <v>1</v>
      </c>
      <c r="C3" t="n">
        <v>2</v>
      </c>
      <c r="D3" t="n">
        <v>8</v>
      </c>
      <c r="E3" t="n">
        <v>0.225</v>
      </c>
      <c r="F3" t="n">
        <v>0.225</v>
      </c>
      <c r="G3" t="inlineStr">
        <is>
          <t>≥ %90</t>
        </is>
      </c>
      <c r="H3" t="inlineStr">
        <is>
          <t>%0–5</t>
        </is>
      </c>
    </row>
    <row r="4">
      <c r="A4" t="inlineStr">
        <is>
          <t>Kolay</t>
        </is>
      </c>
      <c r="B4" t="n">
        <v>1</v>
      </c>
      <c r="C4" t="n">
        <v>2</v>
      </c>
      <c r="D4" t="n">
        <v>8</v>
      </c>
      <c r="E4" t="n">
        <v>0.225</v>
      </c>
      <c r="F4" t="n">
        <v>0.225</v>
      </c>
      <c r="G4" t="inlineStr">
        <is>
          <t>%85–95</t>
        </is>
      </c>
      <c r="H4" t="inlineStr">
        <is>
          <t>%0–5</t>
        </is>
      </c>
    </row>
    <row r="5">
      <c r="A5" t="inlineStr">
        <is>
          <t>Orta</t>
        </is>
      </c>
      <c r="B5" t="n">
        <v>1.1</v>
      </c>
      <c r="C5" t="n">
        <v>1.6</v>
      </c>
      <c r="D5" t="n">
        <v>8</v>
      </c>
      <c r="E5" t="n">
        <v>0.3</v>
      </c>
      <c r="F5" t="n">
        <v>0.3</v>
      </c>
      <c r="G5" t="inlineStr">
        <is>
          <t>%65–85</t>
        </is>
      </c>
      <c r="H5" t="inlineStr">
        <is>
          <t>%5–15</t>
        </is>
      </c>
    </row>
    <row r="6">
      <c r="A6" t="inlineStr">
        <is>
          <t>Zor</t>
        </is>
      </c>
      <c r="B6" t="n">
        <v>1.2</v>
      </c>
      <c r="C6" t="n">
        <v>1.3</v>
      </c>
      <c r="D6" t="n">
        <v>5</v>
      </c>
      <c r="E6" t="n">
        <v>0.275</v>
      </c>
      <c r="F6" t="n">
        <v>0.375</v>
      </c>
      <c r="G6" t="inlineStr">
        <is>
          <t>%40–60</t>
        </is>
      </c>
      <c r="H6" t="inlineStr">
        <is>
          <t>%15–30</t>
        </is>
      </c>
    </row>
    <row r="7">
      <c r="A7" t="inlineStr">
        <is>
          <t>Çok zor</t>
        </is>
      </c>
      <c r="B7" t="n">
        <v>1.3</v>
      </c>
      <c r="C7" t="n">
        <v>1.15</v>
      </c>
      <c r="D7" t="n">
        <v>2</v>
      </c>
      <c r="E7" t="n">
        <v>0.275</v>
      </c>
      <c r="F7" t="n">
        <v>0.375</v>
      </c>
      <c r="G7" t="inlineStr">
        <is>
          <t>%20–35</t>
        </is>
      </c>
      <c r="H7" t="inlineStr">
        <is>
          <t>%30–50</t>
        </is>
      </c>
    </row>
    <row r="9">
      <c r="A9" t="inlineStr">
        <is>
          <t>Kaynak: PRODUCT.md "Zorluk modeli (başlangıç değerleri)". Süre = ⌈gövde × s × P⌉₅, en fazla 75 sn; s yapıdan: 0,6 + 0,16 × hamle başına okuma (+0,1 bombalı, ilk bölümde 1,35).</t>
        </is>
      </c>
    </row>
    <row r="10">
      <c r="A10" t="inlineStr">
        <is>
          <t>Fitil = en kısa kazma yolu + bomba payı. Çivi sayacı = gövde × pay (üst sınır %40). Medyan oyuncunun kalan süresi = 1 − gövde × s / süre; yıldız: ≥ %45 → 3, ≥ %20 → 2, altı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Seviye</t>
        </is>
      </c>
      <c r="B1" s="1" t="inlineStr">
        <is>
          <t>Tür</t>
        </is>
      </c>
      <c r="C1" s="1" t="inlineStr">
        <is>
          <t>Gövde</t>
        </is>
      </c>
      <c r="D1" s="1" t="inlineStr">
        <is>
          <t>Hamle başına okuma</t>
        </is>
      </c>
      <c r="E1" s="1" t="inlineStr">
        <is>
          <t>Bomba</t>
        </is>
      </c>
      <c r="F1" s="1" t="inlineStr">
        <is>
          <t>En kısa kazma (en yakın bomba)</t>
        </is>
      </c>
      <c r="G1" s="1" t="inlineStr">
        <is>
          <t>İlk bölüm</t>
        </is>
      </c>
      <c r="H1" s="1" t="inlineStr">
        <is>
          <t>Çivi</t>
        </is>
      </c>
      <c r="I1" s="1" t="inlineStr">
        <is>
          <t>Mevcut süre</t>
        </is>
      </c>
      <c r="J1" s="1" t="inlineStr">
        <is>
          <t>s</t>
        </is>
      </c>
      <c r="K1" s="1" t="inlineStr">
        <is>
          <t>P</t>
        </is>
      </c>
      <c r="L1" s="1" t="inlineStr">
        <is>
          <t>Önerilen süre</t>
        </is>
      </c>
      <c r="M1" s="1" t="inlineStr">
        <is>
          <t>Önerilen fitil</t>
        </is>
      </c>
      <c r="N1" s="1" t="inlineStr">
        <is>
          <t>Çivi sayacı 1</t>
        </is>
      </c>
      <c r="O1" s="1" t="inlineStr">
        <is>
          <t>Çivi sayacı 2</t>
        </is>
      </c>
      <c r="P1" s="1" t="inlineStr">
        <is>
          <t>Medyan kalan süre</t>
        </is>
      </c>
      <c r="Q1" s="1" t="inlineStr">
        <is>
          <t>Medyan yıldız</t>
        </is>
      </c>
    </row>
    <row r="2">
      <c r="A2" t="inlineStr">
        <is>
          <t>L01</t>
        </is>
      </c>
      <c r="B2" t="inlineStr">
        <is>
          <t>Tanıtım</t>
        </is>
      </c>
      <c r="C2" t="n">
        <v>20</v>
      </c>
      <c r="D2" t="n">
        <v>2.434</v>
      </c>
      <c r="E2" t="n">
        <v>0</v>
      </c>
      <c r="F2" t="inlineStr"/>
      <c r="G2" t="n">
        <v>1</v>
      </c>
      <c r="H2" t="n">
        <v>0</v>
      </c>
      <c r="I2" t="n">
        <v>60</v>
      </c>
      <c r="J2">
        <f>_xlfn.LET(_xlpm.r,D2,_xlpm.b,E2,_xlpm.f,G2,IF(_xlpm.f=1,1.35,0.6+0.16*_xlpm.r+IF(_xlpm.b&gt;0,0.1,0)))</f>
        <v/>
      </c>
      <c r="K2">
        <f>_xlfn.XLOOKUP(B2,Parametre!$A$2:$A$7,Parametre!$C$2:$C$7)</f>
        <v/>
      </c>
      <c r="L2">
        <f>_xlfn.LET(_xlpm.g,C2,_xlpm.s,J2,_xlpm.p,K2,MIN(75,_xlfn.CEILING.MATH(_xlpm.g*_xlpm.s*_xlpm.p,5)))</f>
        <v/>
      </c>
      <c r="M2">
        <f>IF(E2=0,"",F2+_xlfn.XLOOKUP(B2,Parametre!$A$2:$A$7,Parametre!$D$2:$D$7))</f>
        <v/>
      </c>
      <c r="N2">
        <f>_xlfn.LET(_xlpm.g,C2,_xlpm.k,_xlfn.XLOOKUP(B2,Parametre!$A$2:$A$7,Parametre!$E$2:$E$7),IF(H2&lt;1,"",MAX(1,ROUND(_xlpm.g*_xlpm.k,0))))</f>
        <v/>
      </c>
      <c r="O2">
        <f>_xlfn.LET(_xlpm.g,C2,_xlpm.k,_xlfn.XLOOKUP(B2,Parametre!$A$2:$A$7,Parametre!$F$2:$F$7),IF(H2&lt;2,"",MAX(1,ROUND(_xlpm.g*_xlpm.k,0))))</f>
        <v/>
      </c>
      <c r="P2" s="2">
        <f>_xlfn.LET(_xlpm.g,C2,_xlpm.s,J2,_xlpm.t,L2,1-_xlpm.g*_xlpm.s/_xlpm.t)</f>
        <v/>
      </c>
      <c r="Q2">
        <f>_xlfn.LET(_xlpm.m,P2,IF(_xlpm.m&gt;=0.45,3,IF(_xlpm.m&gt;=0.2,2,1)))</f>
        <v/>
      </c>
    </row>
    <row r="3">
      <c r="A3" t="inlineStr">
        <is>
          <t>L02</t>
        </is>
      </c>
      <c r="B3" t="inlineStr">
        <is>
          <t>Orta</t>
        </is>
      </c>
      <c r="C3" t="n">
        <v>25</v>
      </c>
      <c r="D3" t="n">
        <v>2.924</v>
      </c>
      <c r="E3" t="n">
        <v>0</v>
      </c>
      <c r="F3" t="inlineStr"/>
      <c r="G3" t="n">
        <v>0</v>
      </c>
      <c r="H3" t="n">
        <v>0</v>
      </c>
      <c r="I3" t="n">
        <v>85</v>
      </c>
      <c r="J3">
        <f>_xlfn.LET(_xlpm.r,D3,_xlpm.b,E3,_xlpm.f,G3,IF(_xlpm.f=1,1.35,0.6+0.16*_xlpm.r+IF(_xlpm.b&gt;0,0.1,0)))</f>
        <v/>
      </c>
      <c r="K3">
        <f>_xlfn.XLOOKUP(B3,Parametre!$A$2:$A$7,Parametre!$C$2:$C$7)</f>
        <v/>
      </c>
      <c r="L3">
        <f>_xlfn.LET(_xlpm.g,C3,_xlpm.s,J3,_xlpm.p,K3,MIN(75,_xlfn.CEILING.MATH(_xlpm.g*_xlpm.s*_xlpm.p,5)))</f>
        <v/>
      </c>
      <c r="M3">
        <f>IF(E3=0,"",F3+_xlfn.XLOOKUP(B3,Parametre!$A$2:$A$7,Parametre!$D$2:$D$7))</f>
        <v/>
      </c>
      <c r="N3">
        <f>_xlfn.LET(_xlpm.g,C3,_xlpm.k,_xlfn.XLOOKUP(B3,Parametre!$A$2:$A$7,Parametre!$E$2:$E$7),IF(H3&lt;1,"",MAX(1,ROUND(_xlpm.g*_xlpm.k,0))))</f>
        <v/>
      </c>
      <c r="O3">
        <f>_xlfn.LET(_xlpm.g,C3,_xlpm.k,_xlfn.XLOOKUP(B3,Parametre!$A$2:$A$7,Parametre!$F$2:$F$7),IF(H3&lt;2,"",MAX(1,ROUND(_xlpm.g*_xlpm.k,0))))</f>
        <v/>
      </c>
      <c r="P3" s="2">
        <f>_xlfn.LET(_xlpm.g,C3,_xlpm.s,J3,_xlpm.t,L3,1-_xlpm.g*_xlpm.s/_xlpm.t)</f>
        <v/>
      </c>
      <c r="Q3">
        <f>_xlfn.LET(_xlpm.m,P3,IF(_xlpm.m&gt;=0.45,3,IF(_xlpm.m&gt;=0.2,2,1)))</f>
        <v/>
      </c>
    </row>
    <row r="4">
      <c r="A4" t="inlineStr">
        <is>
          <t>L03</t>
        </is>
      </c>
      <c r="B4" t="inlineStr">
        <is>
          <t>Kolay</t>
        </is>
      </c>
      <c r="C4" t="n">
        <v>25</v>
      </c>
      <c r="D4" t="n">
        <v>2.296</v>
      </c>
      <c r="E4" t="n">
        <v>0</v>
      </c>
      <c r="F4" t="inlineStr"/>
      <c r="G4" t="n">
        <v>0</v>
      </c>
      <c r="H4" t="n">
        <v>0</v>
      </c>
      <c r="I4" t="n">
        <v>70</v>
      </c>
      <c r="J4">
        <f>_xlfn.LET(_xlpm.r,D4,_xlpm.b,E4,_xlpm.f,G4,IF(_xlpm.f=1,1.35,0.6+0.16*_xlpm.r+IF(_xlpm.b&gt;0,0.1,0)))</f>
        <v/>
      </c>
      <c r="K4">
        <f>_xlfn.XLOOKUP(B4,Parametre!$A$2:$A$7,Parametre!$C$2:$C$7)</f>
        <v/>
      </c>
      <c r="L4">
        <f>_xlfn.LET(_xlpm.g,C4,_xlpm.s,J4,_xlpm.p,K4,MIN(75,_xlfn.CEILING.MATH(_xlpm.g*_xlpm.s*_xlpm.p,5)))</f>
        <v/>
      </c>
      <c r="M4">
        <f>IF(E4=0,"",F4+_xlfn.XLOOKUP(B4,Parametre!$A$2:$A$7,Parametre!$D$2:$D$7))</f>
        <v/>
      </c>
      <c r="N4">
        <f>_xlfn.LET(_xlpm.g,C4,_xlpm.k,_xlfn.XLOOKUP(B4,Parametre!$A$2:$A$7,Parametre!$E$2:$E$7),IF(H4&lt;1,"",MAX(1,ROUND(_xlpm.g*_xlpm.k,0))))</f>
        <v/>
      </c>
      <c r="O4">
        <f>_xlfn.LET(_xlpm.g,C4,_xlpm.k,_xlfn.XLOOKUP(B4,Parametre!$A$2:$A$7,Parametre!$F$2:$F$7),IF(H4&lt;2,"",MAX(1,ROUND(_xlpm.g*_xlpm.k,0))))</f>
        <v/>
      </c>
      <c r="P4" s="2">
        <f>_xlfn.LET(_xlpm.g,C4,_xlpm.s,J4,_xlpm.t,L4,1-_xlpm.g*_xlpm.s/_xlpm.t)</f>
        <v/>
      </c>
      <c r="Q4">
        <f>_xlfn.LET(_xlpm.m,P4,IF(_xlpm.m&gt;=0.45,3,IF(_xlpm.m&gt;=0.2,2,1)))</f>
        <v/>
      </c>
    </row>
    <row r="5">
      <c r="A5" t="inlineStr">
        <is>
          <t>L04</t>
        </is>
      </c>
      <c r="B5" t="inlineStr">
        <is>
          <t>Orta</t>
        </is>
      </c>
      <c r="C5" t="n">
        <v>25</v>
      </c>
      <c r="D5" t="n">
        <v>2.863</v>
      </c>
      <c r="E5" t="n">
        <v>0</v>
      </c>
      <c r="F5" t="inlineStr"/>
      <c r="G5" t="n">
        <v>0</v>
      </c>
      <c r="H5" t="n">
        <v>0</v>
      </c>
      <c r="I5" t="n">
        <v>80</v>
      </c>
      <c r="J5">
        <f>_xlfn.LET(_xlpm.r,D5,_xlpm.b,E5,_xlpm.f,G5,IF(_xlpm.f=1,1.35,0.6+0.16*_xlpm.r+IF(_xlpm.b&gt;0,0.1,0)))</f>
        <v/>
      </c>
      <c r="K5">
        <f>_xlfn.XLOOKUP(B5,Parametre!$A$2:$A$7,Parametre!$C$2:$C$7)</f>
        <v/>
      </c>
      <c r="L5">
        <f>_xlfn.LET(_xlpm.g,C5,_xlpm.s,J5,_xlpm.p,K5,MIN(75,_xlfn.CEILING.MATH(_xlpm.g*_xlpm.s*_xlpm.p,5)))</f>
        <v/>
      </c>
      <c r="M5">
        <f>IF(E5=0,"",F5+_xlfn.XLOOKUP(B5,Parametre!$A$2:$A$7,Parametre!$D$2:$D$7))</f>
        <v/>
      </c>
      <c r="N5">
        <f>_xlfn.LET(_xlpm.g,C5,_xlpm.k,_xlfn.XLOOKUP(B5,Parametre!$A$2:$A$7,Parametre!$E$2:$E$7),IF(H5&lt;1,"",MAX(1,ROUND(_xlpm.g*_xlpm.k,0))))</f>
        <v/>
      </c>
      <c r="O5">
        <f>_xlfn.LET(_xlpm.g,C5,_xlpm.k,_xlfn.XLOOKUP(B5,Parametre!$A$2:$A$7,Parametre!$F$2:$F$7),IF(H5&lt;2,"",MAX(1,ROUND(_xlpm.g*_xlpm.k,0))))</f>
        <v/>
      </c>
      <c r="P5" s="2">
        <f>_xlfn.LET(_xlpm.g,C5,_xlpm.s,J5,_xlpm.t,L5,1-_xlpm.g*_xlpm.s/_xlpm.t)</f>
        <v/>
      </c>
      <c r="Q5">
        <f>_xlfn.LET(_xlpm.m,P5,IF(_xlpm.m&gt;=0.45,3,IF(_xlpm.m&gt;=0.2,2,1)))</f>
        <v/>
      </c>
    </row>
    <row r="6">
      <c r="A6" t="inlineStr">
        <is>
          <t>L05</t>
        </is>
      </c>
      <c r="B6" t="inlineStr">
        <is>
          <t>Tanıtım</t>
        </is>
      </c>
      <c r="C6" t="n">
        <v>30</v>
      </c>
      <c r="D6" t="n">
        <v>2.663</v>
      </c>
      <c r="E6" t="n">
        <v>0</v>
      </c>
      <c r="F6" t="inlineStr"/>
      <c r="G6" t="n">
        <v>0</v>
      </c>
      <c r="H6" t="n">
        <v>2</v>
      </c>
      <c r="I6" t="n">
        <v>95</v>
      </c>
      <c r="J6">
        <f>_xlfn.LET(_xlpm.r,D6,_xlpm.b,E6,_xlpm.f,G6,IF(_xlpm.f=1,1.35,0.6+0.16*_xlpm.r+IF(_xlpm.b&gt;0,0.1,0)))</f>
        <v/>
      </c>
      <c r="K6">
        <f>_xlfn.XLOOKUP(B6,Parametre!$A$2:$A$7,Parametre!$C$2:$C$7)</f>
        <v/>
      </c>
      <c r="L6">
        <f>_xlfn.LET(_xlpm.g,C6,_xlpm.s,J6,_xlpm.p,K6,MIN(75,_xlfn.CEILING.MATH(_xlpm.g*_xlpm.s*_xlpm.p,5)))</f>
        <v/>
      </c>
      <c r="M6">
        <f>IF(E6=0,"",F6+_xlfn.XLOOKUP(B6,Parametre!$A$2:$A$7,Parametre!$D$2:$D$7))</f>
        <v/>
      </c>
      <c r="N6">
        <f>_xlfn.LET(_xlpm.g,C6,_xlpm.k,_xlfn.XLOOKUP(B6,Parametre!$A$2:$A$7,Parametre!$E$2:$E$7),IF(H6&lt;1,"",MAX(1,ROUND(_xlpm.g*_xlpm.k,0))))</f>
        <v/>
      </c>
      <c r="O6">
        <f>_xlfn.LET(_xlpm.g,C6,_xlpm.k,_xlfn.XLOOKUP(B6,Parametre!$A$2:$A$7,Parametre!$F$2:$F$7),IF(H6&lt;2,"",MAX(1,ROUND(_xlpm.g*_xlpm.k,0))))</f>
        <v/>
      </c>
      <c r="P6" s="2">
        <f>_xlfn.LET(_xlpm.g,C6,_xlpm.s,J6,_xlpm.t,L6,1-_xlpm.g*_xlpm.s/_xlpm.t)</f>
        <v/>
      </c>
      <c r="Q6">
        <f>_xlfn.LET(_xlpm.m,P6,IF(_xlpm.m&gt;=0.45,3,IF(_xlpm.m&gt;=0.2,2,1)))</f>
        <v/>
      </c>
    </row>
    <row r="7">
      <c r="A7" t="inlineStr">
        <is>
          <t>L06</t>
        </is>
      </c>
      <c r="B7" t="inlineStr">
        <is>
          <t>Kolay</t>
        </is>
      </c>
      <c r="C7" t="n">
        <v>30</v>
      </c>
      <c r="D7" t="n">
        <v>2.545</v>
      </c>
      <c r="E7" t="n">
        <v>0</v>
      </c>
      <c r="F7" t="inlineStr"/>
      <c r="G7" t="n">
        <v>0</v>
      </c>
      <c r="H7" t="n">
        <v>2</v>
      </c>
      <c r="I7" t="n">
        <v>90</v>
      </c>
      <c r="J7">
        <f>_xlfn.LET(_xlpm.r,D7,_xlpm.b,E7,_xlpm.f,G7,IF(_xlpm.f=1,1.35,0.6+0.16*_xlpm.r+IF(_xlpm.b&gt;0,0.1,0)))</f>
        <v/>
      </c>
      <c r="K7">
        <f>_xlfn.XLOOKUP(B7,Parametre!$A$2:$A$7,Parametre!$C$2:$C$7)</f>
        <v/>
      </c>
      <c r="L7">
        <f>_xlfn.LET(_xlpm.g,C7,_xlpm.s,J7,_xlpm.p,K7,MIN(75,_xlfn.CEILING.MATH(_xlpm.g*_xlpm.s*_xlpm.p,5)))</f>
        <v/>
      </c>
      <c r="M7">
        <f>IF(E7=0,"",F7+_xlfn.XLOOKUP(B7,Parametre!$A$2:$A$7,Parametre!$D$2:$D$7))</f>
        <v/>
      </c>
      <c r="N7">
        <f>_xlfn.LET(_xlpm.g,C7,_xlpm.k,_xlfn.XLOOKUP(B7,Parametre!$A$2:$A$7,Parametre!$E$2:$E$7),IF(H7&lt;1,"",MAX(1,ROUND(_xlpm.g*_xlpm.k,0))))</f>
        <v/>
      </c>
      <c r="O7">
        <f>_xlfn.LET(_xlpm.g,C7,_xlpm.k,_xlfn.XLOOKUP(B7,Parametre!$A$2:$A$7,Parametre!$F$2:$F$7),IF(H7&lt;2,"",MAX(1,ROUND(_xlpm.g*_xlpm.k,0))))</f>
        <v/>
      </c>
      <c r="P7" s="2">
        <f>_xlfn.LET(_xlpm.g,C7,_xlpm.s,J7,_xlpm.t,L7,1-_xlpm.g*_xlpm.s/_xlpm.t)</f>
        <v/>
      </c>
      <c r="Q7">
        <f>_xlfn.LET(_xlpm.m,P7,IF(_xlpm.m&gt;=0.45,3,IF(_xlpm.m&gt;=0.2,2,1)))</f>
        <v/>
      </c>
    </row>
    <row r="8">
      <c r="A8" t="inlineStr">
        <is>
          <t>L07</t>
        </is>
      </c>
      <c r="B8" t="inlineStr">
        <is>
          <t>Orta</t>
        </is>
      </c>
      <c r="C8" t="n">
        <v>30</v>
      </c>
      <c r="D8" t="n">
        <v>3.039</v>
      </c>
      <c r="E8" t="n">
        <v>0</v>
      </c>
      <c r="F8" t="inlineStr"/>
      <c r="G8" t="n">
        <v>0</v>
      </c>
      <c r="H8" t="n">
        <v>3</v>
      </c>
      <c r="I8" t="n">
        <v>100</v>
      </c>
      <c r="J8">
        <f>_xlfn.LET(_xlpm.r,D8,_xlpm.b,E8,_xlpm.f,G8,IF(_xlpm.f=1,1.35,0.6+0.16*_xlpm.r+IF(_xlpm.b&gt;0,0.1,0)))</f>
        <v/>
      </c>
      <c r="K8">
        <f>_xlfn.XLOOKUP(B8,Parametre!$A$2:$A$7,Parametre!$C$2:$C$7)</f>
        <v/>
      </c>
      <c r="L8">
        <f>_xlfn.LET(_xlpm.g,C8,_xlpm.s,J8,_xlpm.p,K8,MIN(75,_xlfn.CEILING.MATH(_xlpm.g*_xlpm.s*_xlpm.p,5)))</f>
        <v/>
      </c>
      <c r="M8">
        <f>IF(E8=0,"",F8+_xlfn.XLOOKUP(B8,Parametre!$A$2:$A$7,Parametre!$D$2:$D$7))</f>
        <v/>
      </c>
      <c r="N8">
        <f>_xlfn.LET(_xlpm.g,C8,_xlpm.k,_xlfn.XLOOKUP(B8,Parametre!$A$2:$A$7,Parametre!$E$2:$E$7),IF(H8&lt;1,"",MAX(1,ROUND(_xlpm.g*_xlpm.k,0))))</f>
        <v/>
      </c>
      <c r="O8">
        <f>_xlfn.LET(_xlpm.g,C8,_xlpm.k,_xlfn.XLOOKUP(B8,Parametre!$A$2:$A$7,Parametre!$F$2:$F$7),IF(H8&lt;2,"",MAX(1,ROUND(_xlpm.g*_xlpm.k,0))))</f>
        <v/>
      </c>
      <c r="P8" s="2">
        <f>_xlfn.LET(_xlpm.g,C8,_xlpm.s,J8,_xlpm.t,L8,1-_xlpm.g*_xlpm.s/_xlpm.t)</f>
        <v/>
      </c>
      <c r="Q8">
        <f>_xlfn.LET(_xlpm.m,P8,IF(_xlpm.m&gt;=0.45,3,IF(_xlpm.m&gt;=0.2,2,1)))</f>
        <v/>
      </c>
    </row>
    <row r="9">
      <c r="A9" t="inlineStr">
        <is>
          <t>L08</t>
        </is>
      </c>
      <c r="B9" t="inlineStr">
        <is>
          <t>Orta</t>
        </is>
      </c>
      <c r="C9" t="n">
        <v>36</v>
      </c>
      <c r="D9" t="n">
        <v>2.754</v>
      </c>
      <c r="E9" t="n">
        <v>0</v>
      </c>
      <c r="F9" t="inlineStr"/>
      <c r="G9" t="n">
        <v>0</v>
      </c>
      <c r="H9" t="n">
        <v>3</v>
      </c>
      <c r="I9" t="n">
        <v>115</v>
      </c>
      <c r="J9">
        <f>_xlfn.LET(_xlpm.r,D9,_xlpm.b,E9,_xlpm.f,G9,IF(_xlpm.f=1,1.35,0.6+0.16*_xlpm.r+IF(_xlpm.b&gt;0,0.1,0)))</f>
        <v/>
      </c>
      <c r="K9">
        <f>_xlfn.XLOOKUP(B9,Parametre!$A$2:$A$7,Parametre!$C$2:$C$7)</f>
        <v/>
      </c>
      <c r="L9">
        <f>_xlfn.LET(_xlpm.g,C9,_xlpm.s,J9,_xlpm.p,K9,MIN(75,_xlfn.CEILING.MATH(_xlpm.g*_xlpm.s*_xlpm.p,5)))</f>
        <v/>
      </c>
      <c r="M9">
        <f>IF(E9=0,"",F9+_xlfn.XLOOKUP(B9,Parametre!$A$2:$A$7,Parametre!$D$2:$D$7))</f>
        <v/>
      </c>
      <c r="N9">
        <f>_xlfn.LET(_xlpm.g,C9,_xlpm.k,_xlfn.XLOOKUP(B9,Parametre!$A$2:$A$7,Parametre!$E$2:$E$7),IF(H9&lt;1,"",MAX(1,ROUND(_xlpm.g*_xlpm.k,0))))</f>
        <v/>
      </c>
      <c r="O9">
        <f>_xlfn.LET(_xlpm.g,C9,_xlpm.k,_xlfn.XLOOKUP(B9,Parametre!$A$2:$A$7,Parametre!$F$2:$F$7),IF(H9&lt;2,"",MAX(1,ROUND(_xlpm.g*_xlpm.k,0))))</f>
        <v/>
      </c>
      <c r="P9" s="2">
        <f>_xlfn.LET(_xlpm.g,C9,_xlpm.s,J9,_xlpm.t,L9,1-_xlpm.g*_xlpm.s/_xlpm.t)</f>
        <v/>
      </c>
      <c r="Q9">
        <f>_xlfn.LET(_xlpm.m,P9,IF(_xlpm.m&gt;=0.45,3,IF(_xlpm.m&gt;=0.2,2,1)))</f>
        <v/>
      </c>
    </row>
    <row r="10">
      <c r="A10" t="inlineStr">
        <is>
          <t>L09</t>
        </is>
      </c>
      <c r="B10" t="inlineStr">
        <is>
          <t>Orta</t>
        </is>
      </c>
      <c r="C10" t="n">
        <v>36</v>
      </c>
      <c r="D10" t="n">
        <v>2.832</v>
      </c>
      <c r="E10" t="n">
        <v>0</v>
      </c>
      <c r="F10" t="inlineStr"/>
      <c r="G10" t="n">
        <v>0</v>
      </c>
      <c r="H10" t="n">
        <v>3</v>
      </c>
      <c r="I10" t="n">
        <v>115</v>
      </c>
      <c r="J10">
        <f>_xlfn.LET(_xlpm.r,D10,_xlpm.b,E10,_xlpm.f,G10,IF(_xlpm.f=1,1.35,0.6+0.16*_xlpm.r+IF(_xlpm.b&gt;0,0.1,0)))</f>
        <v/>
      </c>
      <c r="K10">
        <f>_xlfn.XLOOKUP(B10,Parametre!$A$2:$A$7,Parametre!$C$2:$C$7)</f>
        <v/>
      </c>
      <c r="L10">
        <f>_xlfn.LET(_xlpm.g,C10,_xlpm.s,J10,_xlpm.p,K10,MIN(75,_xlfn.CEILING.MATH(_xlpm.g*_xlpm.s*_xlpm.p,5)))</f>
        <v/>
      </c>
      <c r="M10">
        <f>IF(E10=0,"",F10+_xlfn.XLOOKUP(B10,Parametre!$A$2:$A$7,Parametre!$D$2:$D$7))</f>
        <v/>
      </c>
      <c r="N10">
        <f>_xlfn.LET(_xlpm.g,C10,_xlpm.k,_xlfn.XLOOKUP(B10,Parametre!$A$2:$A$7,Parametre!$E$2:$E$7),IF(H10&lt;1,"",MAX(1,ROUND(_xlpm.g*_xlpm.k,0))))</f>
        <v/>
      </c>
      <c r="O10">
        <f>_xlfn.LET(_xlpm.g,C10,_xlpm.k,_xlfn.XLOOKUP(B10,Parametre!$A$2:$A$7,Parametre!$F$2:$F$7),IF(H10&lt;2,"",MAX(1,ROUND(_xlpm.g*_xlpm.k,0))))</f>
        <v/>
      </c>
      <c r="P10" s="2">
        <f>_xlfn.LET(_xlpm.g,C10,_xlpm.s,J10,_xlpm.t,L10,1-_xlpm.g*_xlpm.s/_xlpm.t)</f>
        <v/>
      </c>
      <c r="Q10">
        <f>_xlfn.LET(_xlpm.m,P10,IF(_xlpm.m&gt;=0.45,3,IF(_xlpm.m&gt;=0.2,2,1)))</f>
        <v/>
      </c>
    </row>
    <row r="11">
      <c r="A11" t="inlineStr">
        <is>
          <t>L10</t>
        </is>
      </c>
      <c r="B11" t="inlineStr">
        <is>
          <t>Orta</t>
        </is>
      </c>
      <c r="C11" t="n">
        <v>36</v>
      </c>
      <c r="D11" t="n">
        <v>2.8</v>
      </c>
      <c r="E11" t="n">
        <v>0</v>
      </c>
      <c r="F11" t="inlineStr"/>
      <c r="G11" t="n">
        <v>0</v>
      </c>
      <c r="H11" t="n">
        <v>4</v>
      </c>
      <c r="I11" t="n">
        <v>115</v>
      </c>
      <c r="J11">
        <f>_xlfn.LET(_xlpm.r,D11,_xlpm.b,E11,_xlpm.f,G11,IF(_xlpm.f=1,1.35,0.6+0.16*_xlpm.r+IF(_xlpm.b&gt;0,0.1,0)))</f>
        <v/>
      </c>
      <c r="K11">
        <f>_xlfn.XLOOKUP(B11,Parametre!$A$2:$A$7,Parametre!$C$2:$C$7)</f>
        <v/>
      </c>
      <c r="L11">
        <f>_xlfn.LET(_xlpm.g,C11,_xlpm.s,J11,_xlpm.p,K11,MIN(75,_xlfn.CEILING.MATH(_xlpm.g*_xlpm.s*_xlpm.p,5)))</f>
        <v/>
      </c>
      <c r="M11">
        <f>IF(E11=0,"",F11+_xlfn.XLOOKUP(B11,Parametre!$A$2:$A$7,Parametre!$D$2:$D$7))</f>
        <v/>
      </c>
      <c r="N11">
        <f>_xlfn.LET(_xlpm.g,C11,_xlpm.k,_xlfn.XLOOKUP(B11,Parametre!$A$2:$A$7,Parametre!$E$2:$E$7),IF(H11&lt;1,"",MAX(1,ROUND(_xlpm.g*_xlpm.k,0))))</f>
        <v/>
      </c>
      <c r="O11">
        <f>_xlfn.LET(_xlpm.g,C11,_xlpm.k,_xlfn.XLOOKUP(B11,Parametre!$A$2:$A$7,Parametre!$F$2:$F$7),IF(H11&lt;2,"",MAX(1,ROUND(_xlpm.g*_xlpm.k,0))))</f>
        <v/>
      </c>
      <c r="P11" s="2">
        <f>_xlfn.LET(_xlpm.g,C11,_xlpm.s,J11,_xlpm.t,L11,1-_xlpm.g*_xlpm.s/_xlpm.t)</f>
        <v/>
      </c>
      <c r="Q11">
        <f>_xlfn.LET(_xlpm.m,P11,IF(_xlpm.m&gt;=0.45,3,IF(_xlpm.m&gt;=0.2,2,1)))</f>
        <v/>
      </c>
    </row>
    <row r="12">
      <c r="A12" t="inlineStr">
        <is>
          <t>L11</t>
        </is>
      </c>
      <c r="B12" t="inlineStr">
        <is>
          <t>Tanıtım</t>
        </is>
      </c>
      <c r="C12" t="n">
        <v>29</v>
      </c>
      <c r="D12" t="n">
        <v>2.85</v>
      </c>
      <c r="E12" t="n">
        <v>0</v>
      </c>
      <c r="F12" t="inlineStr"/>
      <c r="G12" t="n">
        <v>0</v>
      </c>
      <c r="H12" t="n">
        <v>0</v>
      </c>
      <c r="I12" t="n">
        <v>45</v>
      </c>
      <c r="J12">
        <f>_xlfn.LET(_xlpm.r,D12,_xlpm.b,E12,_xlpm.f,G12,IF(_xlpm.f=1,1.35,0.6+0.16*_xlpm.r+IF(_xlpm.b&gt;0,0.1,0)))</f>
        <v/>
      </c>
      <c r="K12">
        <f>_xlfn.XLOOKUP(B12,Parametre!$A$2:$A$7,Parametre!$C$2:$C$7)</f>
        <v/>
      </c>
      <c r="L12">
        <f>_xlfn.LET(_xlpm.g,C12,_xlpm.s,J12,_xlpm.p,K12,MIN(75,_xlfn.CEILING.MATH(_xlpm.g*_xlpm.s*_xlpm.p,5)))</f>
        <v/>
      </c>
      <c r="M12">
        <f>IF(E12=0,"",F12+_xlfn.XLOOKUP(B12,Parametre!$A$2:$A$7,Parametre!$D$2:$D$7))</f>
        <v/>
      </c>
      <c r="N12">
        <f>_xlfn.LET(_xlpm.g,C12,_xlpm.k,_xlfn.XLOOKUP(B12,Parametre!$A$2:$A$7,Parametre!$E$2:$E$7),IF(H12&lt;1,"",MAX(1,ROUND(_xlpm.g*_xlpm.k,0))))</f>
        <v/>
      </c>
      <c r="O12">
        <f>_xlfn.LET(_xlpm.g,C12,_xlpm.k,_xlfn.XLOOKUP(B12,Parametre!$A$2:$A$7,Parametre!$F$2:$F$7),IF(H12&lt;2,"",MAX(1,ROUND(_xlpm.g*_xlpm.k,0))))</f>
        <v/>
      </c>
      <c r="P12" s="2">
        <f>_xlfn.LET(_xlpm.g,C12,_xlpm.s,J12,_xlpm.t,L12,1-_xlpm.g*_xlpm.s/_xlpm.t)</f>
        <v/>
      </c>
      <c r="Q12">
        <f>_xlfn.LET(_xlpm.m,P12,IF(_xlpm.m&gt;=0.45,3,IF(_xlpm.m&gt;=0.2,2,1)))</f>
        <v/>
      </c>
    </row>
    <row r="13">
      <c r="A13" t="inlineStr">
        <is>
          <t>L12</t>
        </is>
      </c>
      <c r="B13" t="inlineStr">
        <is>
          <t>Kolay</t>
        </is>
      </c>
      <c r="C13" t="n">
        <v>29</v>
      </c>
      <c r="D13" t="n">
        <v>2.652</v>
      </c>
      <c r="E13" t="n">
        <v>0</v>
      </c>
      <c r="F13" t="inlineStr"/>
      <c r="G13" t="n">
        <v>0</v>
      </c>
      <c r="H13" t="n">
        <v>0</v>
      </c>
      <c r="I13" t="n">
        <v>40</v>
      </c>
      <c r="J13">
        <f>_xlfn.LET(_xlpm.r,D13,_xlpm.b,E13,_xlpm.f,G13,IF(_xlpm.f=1,1.35,0.6+0.16*_xlpm.r+IF(_xlpm.b&gt;0,0.1,0)))</f>
        <v/>
      </c>
      <c r="K13">
        <f>_xlfn.XLOOKUP(B13,Parametre!$A$2:$A$7,Parametre!$C$2:$C$7)</f>
        <v/>
      </c>
      <c r="L13">
        <f>_xlfn.LET(_xlpm.g,C13,_xlpm.s,J13,_xlpm.p,K13,MIN(75,_xlfn.CEILING.MATH(_xlpm.g*_xlpm.s*_xlpm.p,5)))</f>
        <v/>
      </c>
      <c r="M13">
        <f>IF(E13=0,"",F13+_xlfn.XLOOKUP(B13,Parametre!$A$2:$A$7,Parametre!$D$2:$D$7))</f>
        <v/>
      </c>
      <c r="N13">
        <f>_xlfn.LET(_xlpm.g,C13,_xlpm.k,_xlfn.XLOOKUP(B13,Parametre!$A$2:$A$7,Parametre!$E$2:$E$7),IF(H13&lt;1,"",MAX(1,ROUND(_xlpm.g*_xlpm.k,0))))</f>
        <v/>
      </c>
      <c r="O13">
        <f>_xlfn.LET(_xlpm.g,C13,_xlpm.k,_xlfn.XLOOKUP(B13,Parametre!$A$2:$A$7,Parametre!$F$2:$F$7),IF(H13&lt;2,"",MAX(1,ROUND(_xlpm.g*_xlpm.k,0))))</f>
        <v/>
      </c>
      <c r="P13" s="2">
        <f>_xlfn.LET(_xlpm.g,C13,_xlpm.s,J13,_xlpm.t,L13,1-_xlpm.g*_xlpm.s/_xlpm.t)</f>
        <v/>
      </c>
      <c r="Q13">
        <f>_xlfn.LET(_xlpm.m,P13,IF(_xlpm.m&gt;=0.45,3,IF(_xlpm.m&gt;=0.2,2,1)))</f>
        <v/>
      </c>
    </row>
    <row r="14">
      <c r="A14" t="inlineStr">
        <is>
          <t>L13</t>
        </is>
      </c>
      <c r="B14" t="inlineStr">
        <is>
          <t>Orta</t>
        </is>
      </c>
      <c r="C14" t="n">
        <v>35</v>
      </c>
      <c r="D14" t="n">
        <v>2.782</v>
      </c>
      <c r="E14" t="n">
        <v>0</v>
      </c>
      <c r="F14" t="inlineStr"/>
      <c r="G14" t="n">
        <v>0</v>
      </c>
      <c r="H14" t="n">
        <v>1</v>
      </c>
      <c r="I14" t="n">
        <v>50</v>
      </c>
      <c r="J14">
        <f>_xlfn.LET(_xlpm.r,D14,_xlpm.b,E14,_xlpm.f,G14,IF(_xlpm.f=1,1.35,0.6+0.16*_xlpm.r+IF(_xlpm.b&gt;0,0.1,0)))</f>
        <v/>
      </c>
      <c r="K14">
        <f>_xlfn.XLOOKUP(B14,Parametre!$A$2:$A$7,Parametre!$C$2:$C$7)</f>
        <v/>
      </c>
      <c r="L14">
        <f>_xlfn.LET(_xlpm.g,C14,_xlpm.s,J14,_xlpm.p,K14,MIN(75,_xlfn.CEILING.MATH(_xlpm.g*_xlpm.s*_xlpm.p,5)))</f>
        <v/>
      </c>
      <c r="M14">
        <f>IF(E14=0,"",F14+_xlfn.XLOOKUP(B14,Parametre!$A$2:$A$7,Parametre!$D$2:$D$7))</f>
        <v/>
      </c>
      <c r="N14">
        <f>_xlfn.LET(_xlpm.g,C14,_xlpm.k,_xlfn.XLOOKUP(B14,Parametre!$A$2:$A$7,Parametre!$E$2:$E$7),IF(H14&lt;1,"",MAX(1,ROUND(_xlpm.g*_xlpm.k,0))))</f>
        <v/>
      </c>
      <c r="O14">
        <f>_xlfn.LET(_xlpm.g,C14,_xlpm.k,_xlfn.XLOOKUP(B14,Parametre!$A$2:$A$7,Parametre!$F$2:$F$7),IF(H14&lt;2,"",MAX(1,ROUND(_xlpm.g*_xlpm.k,0))))</f>
        <v/>
      </c>
      <c r="P14" s="2">
        <f>_xlfn.LET(_xlpm.g,C14,_xlpm.s,J14,_xlpm.t,L14,1-_xlpm.g*_xlpm.s/_xlpm.t)</f>
        <v/>
      </c>
      <c r="Q14">
        <f>_xlfn.LET(_xlpm.m,P14,IF(_xlpm.m&gt;=0.45,3,IF(_xlpm.m&gt;=0.2,2,1)))</f>
        <v/>
      </c>
    </row>
    <row r="15">
      <c r="A15" t="inlineStr">
        <is>
          <t>L14</t>
        </is>
      </c>
      <c r="B15" t="inlineStr">
        <is>
          <t>Zor</t>
        </is>
      </c>
      <c r="C15" t="n">
        <v>34</v>
      </c>
      <c r="D15" t="n">
        <v>3.302</v>
      </c>
      <c r="E15" t="n">
        <v>0</v>
      </c>
      <c r="F15" t="inlineStr"/>
      <c r="G15" t="n">
        <v>0</v>
      </c>
      <c r="H15" t="n">
        <v>1</v>
      </c>
      <c r="I15" t="n">
        <v>50</v>
      </c>
      <c r="J15">
        <f>_xlfn.LET(_xlpm.r,D15,_xlpm.b,E15,_xlpm.f,G15,IF(_xlpm.f=1,1.35,0.6+0.16*_xlpm.r+IF(_xlpm.b&gt;0,0.1,0)))</f>
        <v/>
      </c>
      <c r="K15">
        <f>_xlfn.XLOOKUP(B15,Parametre!$A$2:$A$7,Parametre!$C$2:$C$7)</f>
        <v/>
      </c>
      <c r="L15">
        <f>_xlfn.LET(_xlpm.g,C15,_xlpm.s,J15,_xlpm.p,K15,MIN(75,_xlfn.CEILING.MATH(_xlpm.g*_xlpm.s*_xlpm.p,5)))</f>
        <v/>
      </c>
      <c r="M15">
        <f>IF(E15=0,"",F15+_xlfn.XLOOKUP(B15,Parametre!$A$2:$A$7,Parametre!$D$2:$D$7))</f>
        <v/>
      </c>
      <c r="N15">
        <f>_xlfn.LET(_xlpm.g,C15,_xlpm.k,_xlfn.XLOOKUP(B15,Parametre!$A$2:$A$7,Parametre!$E$2:$E$7),IF(H15&lt;1,"",MAX(1,ROUND(_xlpm.g*_xlpm.k,0))))</f>
        <v/>
      </c>
      <c r="O15">
        <f>_xlfn.LET(_xlpm.g,C15,_xlpm.k,_xlfn.XLOOKUP(B15,Parametre!$A$2:$A$7,Parametre!$F$2:$F$7),IF(H15&lt;2,"",MAX(1,ROUND(_xlpm.g*_xlpm.k,0))))</f>
        <v/>
      </c>
      <c r="P15" s="2">
        <f>_xlfn.LET(_xlpm.g,C15,_xlpm.s,J15,_xlpm.t,L15,1-_xlpm.g*_xlpm.s/_xlpm.t)</f>
        <v/>
      </c>
      <c r="Q15">
        <f>_xlfn.LET(_xlpm.m,P15,IF(_xlpm.m&gt;=0.45,3,IF(_xlpm.m&gt;=0.2,2,1)))</f>
        <v/>
      </c>
    </row>
    <row r="16">
      <c r="A16" t="inlineStr">
        <is>
          <t>L15</t>
        </is>
      </c>
      <c r="B16" t="inlineStr">
        <is>
          <t>Zor</t>
        </is>
      </c>
      <c r="C16" t="n">
        <v>34</v>
      </c>
      <c r="D16" t="n">
        <v>3.697</v>
      </c>
      <c r="E16" t="n">
        <v>0</v>
      </c>
      <c r="F16" t="inlineStr"/>
      <c r="G16" t="n">
        <v>0</v>
      </c>
      <c r="H16" t="n">
        <v>2</v>
      </c>
      <c r="I16" t="n">
        <v>55</v>
      </c>
      <c r="J16">
        <f>_xlfn.LET(_xlpm.r,D16,_xlpm.b,E16,_xlpm.f,G16,IF(_xlpm.f=1,1.35,0.6+0.16*_xlpm.r+IF(_xlpm.b&gt;0,0.1,0)))</f>
        <v/>
      </c>
      <c r="K16">
        <f>_xlfn.XLOOKUP(B16,Parametre!$A$2:$A$7,Parametre!$C$2:$C$7)</f>
        <v/>
      </c>
      <c r="L16">
        <f>_xlfn.LET(_xlpm.g,C16,_xlpm.s,J16,_xlpm.p,K16,MIN(75,_xlfn.CEILING.MATH(_xlpm.g*_xlpm.s*_xlpm.p,5)))</f>
        <v/>
      </c>
      <c r="M16">
        <f>IF(E16=0,"",F16+_xlfn.XLOOKUP(B16,Parametre!$A$2:$A$7,Parametre!$D$2:$D$7))</f>
        <v/>
      </c>
      <c r="N16">
        <f>_xlfn.LET(_xlpm.g,C16,_xlpm.k,_xlfn.XLOOKUP(B16,Parametre!$A$2:$A$7,Parametre!$E$2:$E$7),IF(H16&lt;1,"",MAX(1,ROUND(_xlpm.g*_xlpm.k,0))))</f>
        <v/>
      </c>
      <c r="O16">
        <f>_xlfn.LET(_xlpm.g,C16,_xlpm.k,_xlfn.XLOOKUP(B16,Parametre!$A$2:$A$7,Parametre!$F$2:$F$7),IF(H16&lt;2,"",MAX(1,ROUND(_xlpm.g*_xlpm.k,0))))</f>
        <v/>
      </c>
      <c r="P16" s="2">
        <f>_xlfn.LET(_xlpm.g,C16,_xlpm.s,J16,_xlpm.t,L16,1-_xlpm.g*_xlpm.s/_xlpm.t)</f>
        <v/>
      </c>
      <c r="Q16">
        <f>_xlfn.LET(_xlpm.m,P16,IF(_xlpm.m&gt;=0.45,3,IF(_xlpm.m&gt;=0.2,2,1)))</f>
        <v/>
      </c>
    </row>
    <row r="17">
      <c r="A17" t="inlineStr">
        <is>
          <t>L16</t>
        </is>
      </c>
      <c r="B17" t="inlineStr">
        <is>
          <t>Zor</t>
        </is>
      </c>
      <c r="C17" t="n">
        <v>34</v>
      </c>
      <c r="D17" t="n">
        <v>3.928</v>
      </c>
      <c r="E17" t="n">
        <v>0</v>
      </c>
      <c r="F17" t="inlineStr"/>
      <c r="G17" t="n">
        <v>0</v>
      </c>
      <c r="H17" t="n">
        <v>2</v>
      </c>
      <c r="I17" t="n">
        <v>55</v>
      </c>
      <c r="J17">
        <f>_xlfn.LET(_xlpm.r,D17,_xlpm.b,E17,_xlpm.f,G17,IF(_xlpm.f=1,1.35,0.6+0.16*_xlpm.r+IF(_xlpm.b&gt;0,0.1,0)))</f>
        <v/>
      </c>
      <c r="K17">
        <f>_xlfn.XLOOKUP(B17,Parametre!$A$2:$A$7,Parametre!$C$2:$C$7)</f>
        <v/>
      </c>
      <c r="L17">
        <f>_xlfn.LET(_xlpm.g,C17,_xlpm.s,J17,_xlpm.p,K17,MIN(75,_xlfn.CEILING.MATH(_xlpm.g*_xlpm.s*_xlpm.p,5)))</f>
        <v/>
      </c>
      <c r="M17">
        <f>IF(E17=0,"",F17+_xlfn.XLOOKUP(B17,Parametre!$A$2:$A$7,Parametre!$D$2:$D$7))</f>
        <v/>
      </c>
      <c r="N17">
        <f>_xlfn.LET(_xlpm.g,C17,_xlpm.k,_xlfn.XLOOKUP(B17,Parametre!$A$2:$A$7,Parametre!$E$2:$E$7),IF(H17&lt;1,"",MAX(1,ROUND(_xlpm.g*_xlpm.k,0))))</f>
        <v/>
      </c>
      <c r="O17">
        <f>_xlfn.LET(_xlpm.g,C17,_xlpm.k,_xlfn.XLOOKUP(B17,Parametre!$A$2:$A$7,Parametre!$F$2:$F$7),IF(H17&lt;2,"",MAX(1,ROUND(_xlpm.g*_xlpm.k,0))))</f>
        <v/>
      </c>
      <c r="P17" s="2">
        <f>_xlfn.LET(_xlpm.g,C17,_xlpm.s,J17,_xlpm.t,L17,1-_xlpm.g*_xlpm.s/_xlpm.t)</f>
        <v/>
      </c>
      <c r="Q17">
        <f>_xlfn.LET(_xlpm.m,P17,IF(_xlpm.m&gt;=0.45,3,IF(_xlpm.m&gt;=0.2,2,1)))</f>
        <v/>
      </c>
    </row>
    <row r="18">
      <c r="A18" t="inlineStr">
        <is>
          <t>L17</t>
        </is>
      </c>
      <c r="B18" t="inlineStr">
        <is>
          <t>Çok zor</t>
        </is>
      </c>
      <c r="C18" t="n">
        <v>33</v>
      </c>
      <c r="D18" t="n">
        <v>4.197</v>
      </c>
      <c r="E18" t="n">
        <v>0</v>
      </c>
      <c r="F18" t="inlineStr"/>
      <c r="G18" t="n">
        <v>0</v>
      </c>
      <c r="H18" t="n">
        <v>2</v>
      </c>
      <c r="I18" t="n">
        <v>55</v>
      </c>
      <c r="J18">
        <f>_xlfn.LET(_xlpm.r,D18,_xlpm.b,E18,_xlpm.f,G18,IF(_xlpm.f=1,1.35,0.6+0.16*_xlpm.r+IF(_xlpm.b&gt;0,0.1,0)))</f>
        <v/>
      </c>
      <c r="K18">
        <f>_xlfn.XLOOKUP(B18,Parametre!$A$2:$A$7,Parametre!$C$2:$C$7)</f>
        <v/>
      </c>
      <c r="L18">
        <f>_xlfn.LET(_xlpm.g,C18,_xlpm.s,J18,_xlpm.p,K18,MIN(75,_xlfn.CEILING.MATH(_xlpm.g*_xlpm.s*_xlpm.p,5)))</f>
        <v/>
      </c>
      <c r="M18">
        <f>IF(E18=0,"",F18+_xlfn.XLOOKUP(B18,Parametre!$A$2:$A$7,Parametre!$D$2:$D$7))</f>
        <v/>
      </c>
      <c r="N18">
        <f>_xlfn.LET(_xlpm.g,C18,_xlpm.k,_xlfn.XLOOKUP(B18,Parametre!$A$2:$A$7,Parametre!$E$2:$E$7),IF(H18&lt;1,"",MAX(1,ROUND(_xlpm.g*_xlpm.k,0))))</f>
        <v/>
      </c>
      <c r="O18">
        <f>_xlfn.LET(_xlpm.g,C18,_xlpm.k,_xlfn.XLOOKUP(B18,Parametre!$A$2:$A$7,Parametre!$F$2:$F$7),IF(H18&lt;2,"",MAX(1,ROUND(_xlpm.g*_xlpm.k,0))))</f>
        <v/>
      </c>
      <c r="P18" s="2">
        <f>_xlfn.LET(_xlpm.g,C18,_xlpm.s,J18,_xlpm.t,L18,1-_xlpm.g*_xlpm.s/_xlpm.t)</f>
        <v/>
      </c>
      <c r="Q18">
        <f>_xlfn.LET(_xlpm.m,P18,IF(_xlpm.m&gt;=0.45,3,IF(_xlpm.m&gt;=0.2,2,1)))</f>
        <v/>
      </c>
    </row>
    <row r="19">
      <c r="A19" t="inlineStr">
        <is>
          <t>L18</t>
        </is>
      </c>
      <c r="B19" t="inlineStr">
        <is>
          <t>Orta</t>
        </is>
      </c>
      <c r="C19" t="n">
        <v>29</v>
      </c>
      <c r="D19" t="n">
        <v>2.919</v>
      </c>
      <c r="E19" t="n">
        <v>0</v>
      </c>
      <c r="F19" t="inlineStr"/>
      <c r="G19" t="n">
        <v>0</v>
      </c>
      <c r="H19" t="n">
        <v>1</v>
      </c>
      <c r="I19" t="n">
        <v>45</v>
      </c>
      <c r="J19">
        <f>_xlfn.LET(_xlpm.r,D19,_xlpm.b,E19,_xlpm.f,G19,IF(_xlpm.f=1,1.35,0.6+0.16*_xlpm.r+IF(_xlpm.b&gt;0,0.1,0)))</f>
        <v/>
      </c>
      <c r="K19">
        <f>_xlfn.XLOOKUP(B19,Parametre!$A$2:$A$7,Parametre!$C$2:$C$7)</f>
        <v/>
      </c>
      <c r="L19">
        <f>_xlfn.LET(_xlpm.g,C19,_xlpm.s,J19,_xlpm.p,K19,MIN(75,_xlfn.CEILING.MATH(_xlpm.g*_xlpm.s*_xlpm.p,5)))</f>
        <v/>
      </c>
      <c r="M19">
        <f>IF(E19=0,"",F19+_xlfn.XLOOKUP(B19,Parametre!$A$2:$A$7,Parametre!$D$2:$D$7))</f>
        <v/>
      </c>
      <c r="N19">
        <f>_xlfn.LET(_xlpm.g,C19,_xlpm.k,_xlfn.XLOOKUP(B19,Parametre!$A$2:$A$7,Parametre!$E$2:$E$7),IF(H19&lt;1,"",MAX(1,ROUND(_xlpm.g*_xlpm.k,0))))</f>
        <v/>
      </c>
      <c r="O19">
        <f>_xlfn.LET(_xlpm.g,C19,_xlpm.k,_xlfn.XLOOKUP(B19,Parametre!$A$2:$A$7,Parametre!$F$2:$F$7),IF(H19&lt;2,"",MAX(1,ROUND(_xlpm.g*_xlpm.k,0))))</f>
        <v/>
      </c>
      <c r="P19" s="2">
        <f>_xlfn.LET(_xlpm.g,C19,_xlpm.s,J19,_xlpm.t,L19,1-_xlpm.g*_xlpm.s/_xlpm.t)</f>
        <v/>
      </c>
      <c r="Q19">
        <f>_xlfn.LET(_xlpm.m,P19,IF(_xlpm.m&gt;=0.45,3,IF(_xlpm.m&gt;=0.2,2,1)))</f>
        <v/>
      </c>
    </row>
    <row r="20">
      <c r="A20" t="inlineStr">
        <is>
          <t>L19</t>
        </is>
      </c>
      <c r="B20" t="inlineStr">
        <is>
          <t>Orta</t>
        </is>
      </c>
      <c r="C20" t="n">
        <v>34</v>
      </c>
      <c r="D20" t="n">
        <v>3.152</v>
      </c>
      <c r="E20" t="n">
        <v>0</v>
      </c>
      <c r="F20" t="inlineStr"/>
      <c r="G20" t="n">
        <v>0</v>
      </c>
      <c r="H20" t="n">
        <v>2</v>
      </c>
      <c r="I20" t="n">
        <v>50</v>
      </c>
      <c r="J20">
        <f>_xlfn.LET(_xlpm.r,D20,_xlpm.b,E20,_xlpm.f,G20,IF(_xlpm.f=1,1.35,0.6+0.16*_xlpm.r+IF(_xlpm.b&gt;0,0.1,0)))</f>
        <v/>
      </c>
      <c r="K20">
        <f>_xlfn.XLOOKUP(B20,Parametre!$A$2:$A$7,Parametre!$C$2:$C$7)</f>
        <v/>
      </c>
      <c r="L20">
        <f>_xlfn.LET(_xlpm.g,C20,_xlpm.s,J20,_xlpm.p,K20,MIN(75,_xlfn.CEILING.MATH(_xlpm.g*_xlpm.s*_xlpm.p,5)))</f>
        <v/>
      </c>
      <c r="M20">
        <f>IF(E20=0,"",F20+_xlfn.XLOOKUP(B20,Parametre!$A$2:$A$7,Parametre!$D$2:$D$7))</f>
        <v/>
      </c>
      <c r="N20">
        <f>_xlfn.LET(_xlpm.g,C20,_xlpm.k,_xlfn.XLOOKUP(B20,Parametre!$A$2:$A$7,Parametre!$E$2:$E$7),IF(H20&lt;1,"",MAX(1,ROUND(_xlpm.g*_xlpm.k,0))))</f>
        <v/>
      </c>
      <c r="O20">
        <f>_xlfn.LET(_xlpm.g,C20,_xlpm.k,_xlfn.XLOOKUP(B20,Parametre!$A$2:$A$7,Parametre!$F$2:$F$7),IF(H20&lt;2,"",MAX(1,ROUND(_xlpm.g*_xlpm.k,0))))</f>
        <v/>
      </c>
      <c r="P20" s="2">
        <f>_xlfn.LET(_xlpm.g,C20,_xlpm.s,J20,_xlpm.t,L20,1-_xlpm.g*_xlpm.s/_xlpm.t)</f>
        <v/>
      </c>
      <c r="Q20">
        <f>_xlfn.LET(_xlpm.m,P20,IF(_xlpm.m&gt;=0.45,3,IF(_xlpm.m&gt;=0.2,2,1)))</f>
        <v/>
      </c>
    </row>
    <row r="21">
      <c r="A21" t="inlineStr">
        <is>
          <t>L20</t>
        </is>
      </c>
      <c r="B21" t="inlineStr">
        <is>
          <t>Orta</t>
        </is>
      </c>
      <c r="C21" t="n">
        <v>40</v>
      </c>
      <c r="D21" t="n">
        <v>3.228</v>
      </c>
      <c r="E21" t="n">
        <v>0</v>
      </c>
      <c r="F21" t="inlineStr"/>
      <c r="G21" t="n">
        <v>0</v>
      </c>
      <c r="H21" t="n">
        <v>2</v>
      </c>
      <c r="I21" t="n">
        <v>55</v>
      </c>
      <c r="J21">
        <f>_xlfn.LET(_xlpm.r,D21,_xlpm.b,E21,_xlpm.f,G21,IF(_xlpm.f=1,1.35,0.6+0.16*_xlpm.r+IF(_xlpm.b&gt;0,0.1,0)))</f>
        <v/>
      </c>
      <c r="K21">
        <f>_xlfn.XLOOKUP(B21,Parametre!$A$2:$A$7,Parametre!$C$2:$C$7)</f>
        <v/>
      </c>
      <c r="L21">
        <f>_xlfn.LET(_xlpm.g,C21,_xlpm.s,J21,_xlpm.p,K21,MIN(75,_xlfn.CEILING.MATH(_xlpm.g*_xlpm.s*_xlpm.p,5)))</f>
        <v/>
      </c>
      <c r="M21">
        <f>IF(E21=0,"",F21+_xlfn.XLOOKUP(B21,Parametre!$A$2:$A$7,Parametre!$D$2:$D$7))</f>
        <v/>
      </c>
      <c r="N21">
        <f>_xlfn.LET(_xlpm.g,C21,_xlpm.k,_xlfn.XLOOKUP(B21,Parametre!$A$2:$A$7,Parametre!$E$2:$E$7),IF(H21&lt;1,"",MAX(1,ROUND(_xlpm.g*_xlpm.k,0))))</f>
        <v/>
      </c>
      <c r="O21">
        <f>_xlfn.LET(_xlpm.g,C21,_xlpm.k,_xlfn.XLOOKUP(B21,Parametre!$A$2:$A$7,Parametre!$F$2:$F$7),IF(H21&lt;2,"",MAX(1,ROUND(_xlpm.g*_xlpm.k,0))))</f>
        <v/>
      </c>
      <c r="P21" s="2">
        <f>_xlfn.LET(_xlpm.g,C21,_xlpm.s,J21,_xlpm.t,L21,1-_xlpm.g*_xlpm.s/_xlpm.t)</f>
        <v/>
      </c>
      <c r="Q21">
        <f>_xlfn.LET(_xlpm.m,P21,IF(_xlpm.m&gt;=0.45,3,IF(_xlpm.m&gt;=0.2,2,1)))</f>
        <v/>
      </c>
    </row>
    <row r="22">
      <c r="A22" t="inlineStr">
        <is>
          <t>L21</t>
        </is>
      </c>
      <c r="B22" t="inlineStr">
        <is>
          <t>Tanıtım</t>
        </is>
      </c>
      <c r="C22" t="n">
        <v>30</v>
      </c>
      <c r="D22" t="n">
        <v>2.889</v>
      </c>
      <c r="E22" t="n">
        <v>1</v>
      </c>
      <c r="F22" t="n">
        <v>6</v>
      </c>
      <c r="G22" t="n">
        <v>0</v>
      </c>
      <c r="H22" t="n">
        <v>0</v>
      </c>
      <c r="I22" t="n">
        <v>45</v>
      </c>
      <c r="J22">
        <f>_xlfn.LET(_xlpm.r,D22,_xlpm.b,E22,_xlpm.f,G22,IF(_xlpm.f=1,1.35,0.6+0.16*_xlpm.r+IF(_xlpm.b&gt;0,0.1,0)))</f>
        <v/>
      </c>
      <c r="K22">
        <f>_xlfn.XLOOKUP(B22,Parametre!$A$2:$A$7,Parametre!$C$2:$C$7)</f>
        <v/>
      </c>
      <c r="L22">
        <f>_xlfn.LET(_xlpm.g,C22,_xlpm.s,J22,_xlpm.p,K22,MIN(75,_xlfn.CEILING.MATH(_xlpm.g*_xlpm.s*_xlpm.p,5)))</f>
        <v/>
      </c>
      <c r="M22">
        <f>IF(E22=0,"",F22+_xlfn.XLOOKUP(B22,Parametre!$A$2:$A$7,Parametre!$D$2:$D$7))</f>
        <v/>
      </c>
      <c r="N22">
        <f>_xlfn.LET(_xlpm.g,C22,_xlpm.k,_xlfn.XLOOKUP(B22,Parametre!$A$2:$A$7,Parametre!$E$2:$E$7),IF(H22&lt;1,"",MAX(1,ROUND(_xlpm.g*_xlpm.k,0))))</f>
        <v/>
      </c>
      <c r="O22">
        <f>_xlfn.LET(_xlpm.g,C22,_xlpm.k,_xlfn.XLOOKUP(B22,Parametre!$A$2:$A$7,Parametre!$F$2:$F$7),IF(H22&lt;2,"",MAX(1,ROUND(_xlpm.g*_xlpm.k,0))))</f>
        <v/>
      </c>
      <c r="P22" s="2">
        <f>_xlfn.LET(_xlpm.g,C22,_xlpm.s,J22,_xlpm.t,L22,1-_xlpm.g*_xlpm.s/_xlpm.t)</f>
        <v/>
      </c>
      <c r="Q22">
        <f>_xlfn.LET(_xlpm.m,P22,IF(_xlpm.m&gt;=0.45,3,IF(_xlpm.m&gt;=0.2,2,1)))</f>
        <v/>
      </c>
    </row>
    <row r="23">
      <c r="A23" t="inlineStr">
        <is>
          <t>L22</t>
        </is>
      </c>
      <c r="B23" t="inlineStr">
        <is>
          <t>Zor</t>
        </is>
      </c>
      <c r="C23" t="n">
        <v>36</v>
      </c>
      <c r="D23" t="n">
        <v>3.656</v>
      </c>
      <c r="E23" t="n">
        <v>1</v>
      </c>
      <c r="F23" t="n">
        <v>7</v>
      </c>
      <c r="G23" t="n">
        <v>0</v>
      </c>
      <c r="H23" t="n">
        <v>0</v>
      </c>
      <c r="I23" t="n">
        <v>55</v>
      </c>
      <c r="J23">
        <f>_xlfn.LET(_xlpm.r,D23,_xlpm.b,E23,_xlpm.f,G23,IF(_xlpm.f=1,1.35,0.6+0.16*_xlpm.r+IF(_xlpm.b&gt;0,0.1,0)))</f>
        <v/>
      </c>
      <c r="K23">
        <f>_xlfn.XLOOKUP(B23,Parametre!$A$2:$A$7,Parametre!$C$2:$C$7)</f>
        <v/>
      </c>
      <c r="L23">
        <f>_xlfn.LET(_xlpm.g,C23,_xlpm.s,J23,_xlpm.p,K23,MIN(75,_xlfn.CEILING.MATH(_xlpm.g*_xlpm.s*_xlpm.p,5)))</f>
        <v/>
      </c>
      <c r="M23">
        <f>IF(E23=0,"",F23+_xlfn.XLOOKUP(B23,Parametre!$A$2:$A$7,Parametre!$D$2:$D$7))</f>
        <v/>
      </c>
      <c r="N23">
        <f>_xlfn.LET(_xlpm.g,C23,_xlpm.k,_xlfn.XLOOKUP(B23,Parametre!$A$2:$A$7,Parametre!$E$2:$E$7),IF(H23&lt;1,"",MAX(1,ROUND(_xlpm.g*_xlpm.k,0))))</f>
        <v/>
      </c>
      <c r="O23">
        <f>_xlfn.LET(_xlpm.g,C23,_xlpm.k,_xlfn.XLOOKUP(B23,Parametre!$A$2:$A$7,Parametre!$F$2:$F$7),IF(H23&lt;2,"",MAX(1,ROUND(_xlpm.g*_xlpm.k,0))))</f>
        <v/>
      </c>
      <c r="P23" s="2">
        <f>_xlfn.LET(_xlpm.g,C23,_xlpm.s,J23,_xlpm.t,L23,1-_xlpm.g*_xlpm.s/_xlpm.t)</f>
        <v/>
      </c>
      <c r="Q23">
        <f>_xlfn.LET(_xlpm.m,P23,IF(_xlpm.m&gt;=0.45,3,IF(_xlpm.m&gt;=0.2,2,1)))</f>
        <v/>
      </c>
    </row>
    <row r="24">
      <c r="A24" t="inlineStr">
        <is>
          <t>L23</t>
        </is>
      </c>
      <c r="B24" t="inlineStr">
        <is>
          <t>Orta</t>
        </is>
      </c>
      <c r="C24" t="n">
        <v>35</v>
      </c>
      <c r="D24" t="n">
        <v>3.029</v>
      </c>
      <c r="E24" t="n">
        <v>1</v>
      </c>
      <c r="F24" t="n">
        <v>3</v>
      </c>
      <c r="G24" t="n">
        <v>0</v>
      </c>
      <c r="H24" t="n">
        <v>1</v>
      </c>
      <c r="I24" t="n">
        <v>50</v>
      </c>
      <c r="J24">
        <f>_xlfn.LET(_xlpm.r,D24,_xlpm.b,E24,_xlpm.f,G24,IF(_xlpm.f=1,1.35,0.6+0.16*_xlpm.r+IF(_xlpm.b&gt;0,0.1,0)))</f>
        <v/>
      </c>
      <c r="K24">
        <f>_xlfn.XLOOKUP(B24,Parametre!$A$2:$A$7,Parametre!$C$2:$C$7)</f>
        <v/>
      </c>
      <c r="L24">
        <f>_xlfn.LET(_xlpm.g,C24,_xlpm.s,J24,_xlpm.p,K24,MIN(75,_xlfn.CEILING.MATH(_xlpm.g*_xlpm.s*_xlpm.p,5)))</f>
        <v/>
      </c>
      <c r="M24">
        <f>IF(E24=0,"",F24+_xlfn.XLOOKUP(B24,Parametre!$A$2:$A$7,Parametre!$D$2:$D$7))</f>
        <v/>
      </c>
      <c r="N24">
        <f>_xlfn.LET(_xlpm.g,C24,_xlpm.k,_xlfn.XLOOKUP(B24,Parametre!$A$2:$A$7,Parametre!$E$2:$E$7),IF(H24&lt;1,"",MAX(1,ROUND(_xlpm.g*_xlpm.k,0))))</f>
        <v/>
      </c>
      <c r="O24">
        <f>_xlfn.LET(_xlpm.g,C24,_xlpm.k,_xlfn.XLOOKUP(B24,Parametre!$A$2:$A$7,Parametre!$F$2:$F$7),IF(H24&lt;2,"",MAX(1,ROUND(_xlpm.g*_xlpm.k,0))))</f>
        <v/>
      </c>
      <c r="P24" s="2">
        <f>_xlfn.LET(_xlpm.g,C24,_xlpm.s,J24,_xlpm.t,L24,1-_xlpm.g*_xlpm.s/_xlpm.t)</f>
        <v/>
      </c>
      <c r="Q24">
        <f>_xlfn.LET(_xlpm.m,P24,IF(_xlpm.m&gt;=0.45,3,IF(_xlpm.m&gt;=0.2,2,1)))</f>
        <v/>
      </c>
    </row>
    <row r="25">
      <c r="A25" t="inlineStr">
        <is>
          <t>L24</t>
        </is>
      </c>
      <c r="B25" t="inlineStr">
        <is>
          <t>Zor</t>
        </is>
      </c>
      <c r="C25" t="n">
        <v>34</v>
      </c>
      <c r="D25" t="n">
        <v>3.712</v>
      </c>
      <c r="E25" t="n">
        <v>1</v>
      </c>
      <c r="F25" t="n">
        <v>5</v>
      </c>
      <c r="G25" t="n">
        <v>0</v>
      </c>
      <c r="H25" t="n">
        <v>2</v>
      </c>
      <c r="I25" t="n">
        <v>55</v>
      </c>
      <c r="J25">
        <f>_xlfn.LET(_xlpm.r,D25,_xlpm.b,E25,_xlpm.f,G25,IF(_xlpm.f=1,1.35,0.6+0.16*_xlpm.r+IF(_xlpm.b&gt;0,0.1,0)))</f>
        <v/>
      </c>
      <c r="K25">
        <f>_xlfn.XLOOKUP(B25,Parametre!$A$2:$A$7,Parametre!$C$2:$C$7)</f>
        <v/>
      </c>
      <c r="L25">
        <f>_xlfn.LET(_xlpm.g,C25,_xlpm.s,J25,_xlpm.p,K25,MIN(75,_xlfn.CEILING.MATH(_xlpm.g*_xlpm.s*_xlpm.p,5)))</f>
        <v/>
      </c>
      <c r="M25">
        <f>IF(E25=0,"",F25+_xlfn.XLOOKUP(B25,Parametre!$A$2:$A$7,Parametre!$D$2:$D$7))</f>
        <v/>
      </c>
      <c r="N25">
        <f>_xlfn.LET(_xlpm.g,C25,_xlpm.k,_xlfn.XLOOKUP(B25,Parametre!$A$2:$A$7,Parametre!$E$2:$E$7),IF(H25&lt;1,"",MAX(1,ROUND(_xlpm.g*_xlpm.k,0))))</f>
        <v/>
      </c>
      <c r="O25">
        <f>_xlfn.LET(_xlpm.g,C25,_xlpm.k,_xlfn.XLOOKUP(B25,Parametre!$A$2:$A$7,Parametre!$F$2:$F$7),IF(H25&lt;2,"",MAX(1,ROUND(_xlpm.g*_xlpm.k,0))))</f>
        <v/>
      </c>
      <c r="P25" s="2">
        <f>_xlfn.LET(_xlpm.g,C25,_xlpm.s,J25,_xlpm.t,L25,1-_xlpm.g*_xlpm.s/_xlpm.t)</f>
        <v/>
      </c>
      <c r="Q25">
        <f>_xlfn.LET(_xlpm.m,P25,IF(_xlpm.m&gt;=0.45,3,IF(_xlpm.m&gt;=0.2,2,1)))</f>
        <v/>
      </c>
    </row>
    <row r="26">
      <c r="A26" t="inlineStr">
        <is>
          <t>L25</t>
        </is>
      </c>
      <c r="B26" t="inlineStr">
        <is>
          <t>Zor</t>
        </is>
      </c>
      <c r="C26" t="n">
        <v>29</v>
      </c>
      <c r="D26" t="n">
        <v>3.579</v>
      </c>
      <c r="E26" t="n">
        <v>1</v>
      </c>
      <c r="F26" t="n">
        <v>5</v>
      </c>
      <c r="G26" t="n">
        <v>0</v>
      </c>
      <c r="H26" t="n">
        <v>1</v>
      </c>
      <c r="I26" t="n">
        <v>45</v>
      </c>
      <c r="J26">
        <f>_xlfn.LET(_xlpm.r,D26,_xlpm.b,E26,_xlpm.f,G26,IF(_xlpm.f=1,1.35,0.6+0.16*_xlpm.r+IF(_xlpm.b&gt;0,0.1,0)))</f>
        <v/>
      </c>
      <c r="K26">
        <f>_xlfn.XLOOKUP(B26,Parametre!$A$2:$A$7,Parametre!$C$2:$C$7)</f>
        <v/>
      </c>
      <c r="L26">
        <f>_xlfn.LET(_xlpm.g,C26,_xlpm.s,J26,_xlpm.p,K26,MIN(75,_xlfn.CEILING.MATH(_xlpm.g*_xlpm.s*_xlpm.p,5)))</f>
        <v/>
      </c>
      <c r="M26">
        <f>IF(E26=0,"",F26+_xlfn.XLOOKUP(B26,Parametre!$A$2:$A$7,Parametre!$D$2:$D$7))</f>
        <v/>
      </c>
      <c r="N26">
        <f>_xlfn.LET(_xlpm.g,C26,_xlpm.k,_xlfn.XLOOKUP(B26,Parametre!$A$2:$A$7,Parametre!$E$2:$E$7),IF(H26&lt;1,"",MAX(1,ROUND(_xlpm.g*_xlpm.k,0))))</f>
        <v/>
      </c>
      <c r="O26">
        <f>_xlfn.LET(_xlpm.g,C26,_xlpm.k,_xlfn.XLOOKUP(B26,Parametre!$A$2:$A$7,Parametre!$F$2:$F$7),IF(H26&lt;2,"",MAX(1,ROUND(_xlpm.g*_xlpm.k,0))))</f>
        <v/>
      </c>
      <c r="P26" s="2">
        <f>_xlfn.LET(_xlpm.g,C26,_xlpm.s,J26,_xlpm.t,L26,1-_xlpm.g*_xlpm.s/_xlpm.t)</f>
        <v/>
      </c>
      <c r="Q26">
        <f>_xlfn.LET(_xlpm.m,P26,IF(_xlpm.m&gt;=0.45,3,IF(_xlpm.m&gt;=0.2,2,1)))</f>
        <v/>
      </c>
    </row>
    <row r="27">
      <c r="A27" t="inlineStr">
        <is>
          <t>L26</t>
        </is>
      </c>
      <c r="B27" t="inlineStr">
        <is>
          <t>Orta</t>
        </is>
      </c>
      <c r="C27" t="n">
        <v>35</v>
      </c>
      <c r="D27" t="n">
        <v>3.17</v>
      </c>
      <c r="E27" t="n">
        <v>1</v>
      </c>
      <c r="F27" t="n">
        <v>14</v>
      </c>
      <c r="G27" t="n">
        <v>0</v>
      </c>
      <c r="H27" t="n">
        <v>1</v>
      </c>
      <c r="I27" t="n">
        <v>50</v>
      </c>
      <c r="J27">
        <f>_xlfn.LET(_xlpm.r,D27,_xlpm.b,E27,_xlpm.f,G27,IF(_xlpm.f=1,1.35,0.6+0.16*_xlpm.r+IF(_xlpm.b&gt;0,0.1,0)))</f>
        <v/>
      </c>
      <c r="K27">
        <f>_xlfn.XLOOKUP(B27,Parametre!$A$2:$A$7,Parametre!$C$2:$C$7)</f>
        <v/>
      </c>
      <c r="L27">
        <f>_xlfn.LET(_xlpm.g,C27,_xlpm.s,J27,_xlpm.p,K27,MIN(75,_xlfn.CEILING.MATH(_xlpm.g*_xlpm.s*_xlpm.p,5)))</f>
        <v/>
      </c>
      <c r="M27">
        <f>IF(E27=0,"",F27+_xlfn.XLOOKUP(B27,Parametre!$A$2:$A$7,Parametre!$D$2:$D$7))</f>
        <v/>
      </c>
      <c r="N27">
        <f>_xlfn.LET(_xlpm.g,C27,_xlpm.k,_xlfn.XLOOKUP(B27,Parametre!$A$2:$A$7,Parametre!$E$2:$E$7),IF(H27&lt;1,"",MAX(1,ROUND(_xlpm.g*_xlpm.k,0))))</f>
        <v/>
      </c>
      <c r="O27">
        <f>_xlfn.LET(_xlpm.g,C27,_xlpm.k,_xlfn.XLOOKUP(B27,Parametre!$A$2:$A$7,Parametre!$F$2:$F$7),IF(H27&lt;2,"",MAX(1,ROUND(_xlpm.g*_xlpm.k,0))))</f>
        <v/>
      </c>
      <c r="P27" s="2">
        <f>_xlfn.LET(_xlpm.g,C27,_xlpm.s,J27,_xlpm.t,L27,1-_xlpm.g*_xlpm.s/_xlpm.t)</f>
        <v/>
      </c>
      <c r="Q27">
        <f>_xlfn.LET(_xlpm.m,P27,IF(_xlpm.m&gt;=0.45,3,IF(_xlpm.m&gt;=0.2,2,1)))</f>
        <v/>
      </c>
    </row>
    <row r="28">
      <c r="A28" t="inlineStr">
        <is>
          <t>L27</t>
        </is>
      </c>
      <c r="B28" t="inlineStr">
        <is>
          <t>Zor</t>
        </is>
      </c>
      <c r="C28" t="n">
        <v>34</v>
      </c>
      <c r="D28" t="n">
        <v>3.373</v>
      </c>
      <c r="E28" t="n">
        <v>1</v>
      </c>
      <c r="F28" t="n">
        <v>9</v>
      </c>
      <c r="G28" t="n">
        <v>0</v>
      </c>
      <c r="H28" t="n">
        <v>2</v>
      </c>
      <c r="I28" t="n">
        <v>50</v>
      </c>
      <c r="J28">
        <f>_xlfn.LET(_xlpm.r,D28,_xlpm.b,E28,_xlpm.f,G28,IF(_xlpm.f=1,1.35,0.6+0.16*_xlpm.r+IF(_xlpm.b&gt;0,0.1,0)))</f>
        <v/>
      </c>
      <c r="K28">
        <f>_xlfn.XLOOKUP(B28,Parametre!$A$2:$A$7,Parametre!$C$2:$C$7)</f>
        <v/>
      </c>
      <c r="L28">
        <f>_xlfn.LET(_xlpm.g,C28,_xlpm.s,J28,_xlpm.p,K28,MIN(75,_xlfn.CEILING.MATH(_xlpm.g*_xlpm.s*_xlpm.p,5)))</f>
        <v/>
      </c>
      <c r="M28">
        <f>IF(E28=0,"",F28+_xlfn.XLOOKUP(B28,Parametre!$A$2:$A$7,Parametre!$D$2:$D$7))</f>
        <v/>
      </c>
      <c r="N28">
        <f>_xlfn.LET(_xlpm.g,C28,_xlpm.k,_xlfn.XLOOKUP(B28,Parametre!$A$2:$A$7,Parametre!$E$2:$E$7),IF(H28&lt;1,"",MAX(1,ROUND(_xlpm.g*_xlpm.k,0))))</f>
        <v/>
      </c>
      <c r="O28">
        <f>_xlfn.LET(_xlpm.g,C28,_xlpm.k,_xlfn.XLOOKUP(B28,Parametre!$A$2:$A$7,Parametre!$F$2:$F$7),IF(H28&lt;2,"",MAX(1,ROUND(_xlpm.g*_xlpm.k,0))))</f>
        <v/>
      </c>
      <c r="P28" s="2">
        <f>_xlfn.LET(_xlpm.g,C28,_xlpm.s,J28,_xlpm.t,L28,1-_xlpm.g*_xlpm.s/_xlpm.t)</f>
        <v/>
      </c>
      <c r="Q28">
        <f>_xlfn.LET(_xlpm.m,P28,IF(_xlpm.m&gt;=0.45,3,IF(_xlpm.m&gt;=0.2,2,1)))</f>
        <v/>
      </c>
    </row>
    <row r="29">
      <c r="A29" t="inlineStr">
        <is>
          <t>L28</t>
        </is>
      </c>
      <c r="B29" t="inlineStr">
        <is>
          <t>Zor</t>
        </is>
      </c>
      <c r="C29" t="n">
        <v>34</v>
      </c>
      <c r="D29" t="n">
        <v>3.999</v>
      </c>
      <c r="E29" t="n">
        <v>2</v>
      </c>
      <c r="F29" t="n">
        <v>4</v>
      </c>
      <c r="G29" t="n">
        <v>0</v>
      </c>
      <c r="H29" t="n">
        <v>2</v>
      </c>
      <c r="I29" t="n">
        <v>55</v>
      </c>
      <c r="J29">
        <f>_xlfn.LET(_xlpm.r,D29,_xlpm.b,E29,_xlpm.f,G29,IF(_xlpm.f=1,1.35,0.6+0.16*_xlpm.r+IF(_xlpm.b&gt;0,0.1,0)))</f>
        <v/>
      </c>
      <c r="K29">
        <f>_xlfn.XLOOKUP(B29,Parametre!$A$2:$A$7,Parametre!$C$2:$C$7)</f>
        <v/>
      </c>
      <c r="L29">
        <f>_xlfn.LET(_xlpm.g,C29,_xlpm.s,J29,_xlpm.p,K29,MIN(75,_xlfn.CEILING.MATH(_xlpm.g*_xlpm.s*_xlpm.p,5)))</f>
        <v/>
      </c>
      <c r="M29">
        <f>IF(E29=0,"",F29+_xlfn.XLOOKUP(B29,Parametre!$A$2:$A$7,Parametre!$D$2:$D$7))</f>
        <v/>
      </c>
      <c r="N29">
        <f>_xlfn.LET(_xlpm.g,C29,_xlpm.k,_xlfn.XLOOKUP(B29,Parametre!$A$2:$A$7,Parametre!$E$2:$E$7),IF(H29&lt;1,"",MAX(1,ROUND(_xlpm.g*_xlpm.k,0))))</f>
        <v/>
      </c>
      <c r="O29">
        <f>_xlfn.LET(_xlpm.g,C29,_xlpm.k,_xlfn.XLOOKUP(B29,Parametre!$A$2:$A$7,Parametre!$F$2:$F$7),IF(H29&lt;2,"",MAX(1,ROUND(_xlpm.g*_xlpm.k,0))))</f>
        <v/>
      </c>
      <c r="P29" s="2">
        <f>_xlfn.LET(_xlpm.g,C29,_xlpm.s,J29,_xlpm.t,L29,1-_xlpm.g*_xlpm.s/_xlpm.t)</f>
        <v/>
      </c>
      <c r="Q29">
        <f>_xlfn.LET(_xlpm.m,P29,IF(_xlpm.m&gt;=0.45,3,IF(_xlpm.m&gt;=0.2,2,1)))</f>
        <v/>
      </c>
    </row>
    <row r="30">
      <c r="A30" t="inlineStr">
        <is>
          <t>L29</t>
        </is>
      </c>
      <c r="B30" t="inlineStr">
        <is>
          <t>Zor</t>
        </is>
      </c>
      <c r="C30" t="n">
        <v>39</v>
      </c>
      <c r="D30" t="n">
        <v>3.599</v>
      </c>
      <c r="E30" t="n">
        <v>1</v>
      </c>
      <c r="F30" t="n">
        <v>5</v>
      </c>
      <c r="G30" t="n">
        <v>0</v>
      </c>
      <c r="H30" t="n">
        <v>2</v>
      </c>
      <c r="I30" t="n">
        <v>60</v>
      </c>
      <c r="J30">
        <f>_xlfn.LET(_xlpm.r,D30,_xlpm.b,E30,_xlpm.f,G30,IF(_xlpm.f=1,1.35,0.6+0.16*_xlpm.r+IF(_xlpm.b&gt;0,0.1,0)))</f>
        <v/>
      </c>
      <c r="K30">
        <f>_xlfn.XLOOKUP(B30,Parametre!$A$2:$A$7,Parametre!$C$2:$C$7)</f>
        <v/>
      </c>
      <c r="L30">
        <f>_xlfn.LET(_xlpm.g,C30,_xlpm.s,J30,_xlpm.p,K30,MIN(75,_xlfn.CEILING.MATH(_xlpm.g*_xlpm.s*_xlpm.p,5)))</f>
        <v/>
      </c>
      <c r="M30">
        <f>IF(E30=0,"",F30+_xlfn.XLOOKUP(B30,Parametre!$A$2:$A$7,Parametre!$D$2:$D$7))</f>
        <v/>
      </c>
      <c r="N30">
        <f>_xlfn.LET(_xlpm.g,C30,_xlpm.k,_xlfn.XLOOKUP(B30,Parametre!$A$2:$A$7,Parametre!$E$2:$E$7),IF(H30&lt;1,"",MAX(1,ROUND(_xlpm.g*_xlpm.k,0))))</f>
        <v/>
      </c>
      <c r="O30">
        <f>_xlfn.LET(_xlpm.g,C30,_xlpm.k,_xlfn.XLOOKUP(B30,Parametre!$A$2:$A$7,Parametre!$F$2:$F$7),IF(H30&lt;2,"",MAX(1,ROUND(_xlpm.g*_xlpm.k,0))))</f>
        <v/>
      </c>
      <c r="P30" s="2">
        <f>_xlfn.LET(_xlpm.g,C30,_xlpm.s,J30,_xlpm.t,L30,1-_xlpm.g*_xlpm.s/_xlpm.t)</f>
        <v/>
      </c>
      <c r="Q30">
        <f>_xlfn.LET(_xlpm.m,P30,IF(_xlpm.m&gt;=0.45,3,IF(_xlpm.m&gt;=0.2,2,1)))</f>
        <v/>
      </c>
    </row>
    <row r="31">
      <c r="A31" t="inlineStr">
        <is>
          <t>L30</t>
        </is>
      </c>
      <c r="B31" t="inlineStr">
        <is>
          <t>Zor</t>
        </is>
      </c>
      <c r="C31" t="n">
        <v>35</v>
      </c>
      <c r="D31" t="n">
        <v>3.424</v>
      </c>
      <c r="E31" t="n">
        <v>1</v>
      </c>
      <c r="F31" t="n">
        <v>10</v>
      </c>
      <c r="G31" t="n">
        <v>0</v>
      </c>
      <c r="H31" t="n">
        <v>1</v>
      </c>
      <c r="I31" t="n">
        <v>55</v>
      </c>
      <c r="J31">
        <f>_xlfn.LET(_xlpm.r,D31,_xlpm.b,E31,_xlpm.f,G31,IF(_xlpm.f=1,1.35,0.6+0.16*_xlpm.r+IF(_xlpm.b&gt;0,0.1,0)))</f>
        <v/>
      </c>
      <c r="K31">
        <f>_xlfn.XLOOKUP(B31,Parametre!$A$2:$A$7,Parametre!$C$2:$C$7)</f>
        <v/>
      </c>
      <c r="L31">
        <f>_xlfn.LET(_xlpm.g,C31,_xlpm.s,J31,_xlpm.p,K31,MIN(75,_xlfn.CEILING.MATH(_xlpm.g*_xlpm.s*_xlpm.p,5)))</f>
        <v/>
      </c>
      <c r="M31">
        <f>IF(E31=0,"",F31+_xlfn.XLOOKUP(B31,Parametre!$A$2:$A$7,Parametre!$D$2:$D$7))</f>
        <v/>
      </c>
      <c r="N31">
        <f>_xlfn.LET(_xlpm.g,C31,_xlpm.k,_xlfn.XLOOKUP(B31,Parametre!$A$2:$A$7,Parametre!$E$2:$E$7),IF(H31&lt;1,"",MAX(1,ROUND(_xlpm.g*_xlpm.k,0))))</f>
        <v/>
      </c>
      <c r="O31">
        <f>_xlfn.LET(_xlpm.g,C31,_xlpm.k,_xlfn.XLOOKUP(B31,Parametre!$A$2:$A$7,Parametre!$F$2:$F$7),IF(H31&lt;2,"",MAX(1,ROUND(_xlpm.g*_xlpm.k,0))))</f>
        <v/>
      </c>
      <c r="P31" s="2">
        <f>_xlfn.LET(_xlpm.g,C31,_xlpm.s,J31,_xlpm.t,L31,1-_xlpm.g*_xlpm.s/_xlpm.t)</f>
        <v/>
      </c>
      <c r="Q31">
        <f>_xlfn.LET(_xlpm.m,P31,IF(_xlpm.m&gt;=0.45,3,IF(_xlpm.m&gt;=0.2,2,1)))</f>
        <v/>
      </c>
    </row>
    <row r="32">
      <c r="A32" t="inlineStr">
        <is>
          <t>L31</t>
        </is>
      </c>
      <c r="B32" t="inlineStr">
        <is>
          <t>Tanıtım</t>
        </is>
      </c>
      <c r="C32" t="n">
        <v>30</v>
      </c>
      <c r="D32" t="n">
        <v>2.908</v>
      </c>
      <c r="E32" t="n">
        <v>0</v>
      </c>
      <c r="F32" t="inlineStr"/>
      <c r="G32" t="n">
        <v>0</v>
      </c>
      <c r="H32" t="n">
        <v>0</v>
      </c>
      <c r="I32" t="n">
        <v>45</v>
      </c>
      <c r="J32">
        <f>_xlfn.LET(_xlpm.r,D32,_xlpm.b,E32,_xlpm.f,G32,IF(_xlpm.f=1,1.35,0.6+0.16*_xlpm.r+IF(_xlpm.b&gt;0,0.1,0)))</f>
        <v/>
      </c>
      <c r="K32">
        <f>_xlfn.XLOOKUP(B32,Parametre!$A$2:$A$7,Parametre!$C$2:$C$7)</f>
        <v/>
      </c>
      <c r="L32">
        <f>_xlfn.LET(_xlpm.g,C32,_xlpm.s,J32,_xlpm.p,K32,MIN(75,_xlfn.CEILING.MATH(_xlpm.g*_xlpm.s*_xlpm.p,5)))</f>
        <v/>
      </c>
      <c r="M32">
        <f>IF(E32=0,"",F32+_xlfn.XLOOKUP(B32,Parametre!$A$2:$A$7,Parametre!$D$2:$D$7))</f>
        <v/>
      </c>
      <c r="N32">
        <f>_xlfn.LET(_xlpm.g,C32,_xlpm.k,_xlfn.XLOOKUP(B32,Parametre!$A$2:$A$7,Parametre!$E$2:$E$7),IF(H32&lt;1,"",MAX(1,ROUND(_xlpm.g*_xlpm.k,0))))</f>
        <v/>
      </c>
      <c r="O32">
        <f>_xlfn.LET(_xlpm.g,C32,_xlpm.k,_xlfn.XLOOKUP(B32,Parametre!$A$2:$A$7,Parametre!$F$2:$F$7),IF(H32&lt;2,"",MAX(1,ROUND(_xlpm.g*_xlpm.k,0))))</f>
        <v/>
      </c>
      <c r="P32" s="2">
        <f>_xlfn.LET(_xlpm.g,C32,_xlpm.s,J32,_xlpm.t,L32,1-_xlpm.g*_xlpm.s/_xlpm.t)</f>
        <v/>
      </c>
      <c r="Q32">
        <f>_xlfn.LET(_xlpm.m,P32,IF(_xlpm.m&gt;=0.45,3,IF(_xlpm.m&gt;=0.2,2,1)))</f>
        <v/>
      </c>
    </row>
    <row r="33">
      <c r="A33" t="inlineStr">
        <is>
          <t>L32</t>
        </is>
      </c>
      <c r="B33" t="inlineStr">
        <is>
          <t>Zor</t>
        </is>
      </c>
      <c r="C33" t="n">
        <v>36</v>
      </c>
      <c r="D33" t="n">
        <v>3.738</v>
      </c>
      <c r="E33" t="n">
        <v>0</v>
      </c>
      <c r="F33" t="inlineStr"/>
      <c r="G33" t="n">
        <v>0</v>
      </c>
      <c r="H33" t="n">
        <v>1</v>
      </c>
      <c r="I33" t="n">
        <v>55</v>
      </c>
      <c r="J33">
        <f>_xlfn.LET(_xlpm.r,D33,_xlpm.b,E33,_xlpm.f,G33,IF(_xlpm.f=1,1.35,0.6+0.16*_xlpm.r+IF(_xlpm.b&gt;0,0.1,0)))</f>
        <v/>
      </c>
      <c r="K33">
        <f>_xlfn.XLOOKUP(B33,Parametre!$A$2:$A$7,Parametre!$C$2:$C$7)</f>
        <v/>
      </c>
      <c r="L33">
        <f>_xlfn.LET(_xlpm.g,C33,_xlpm.s,J33,_xlpm.p,K33,MIN(75,_xlfn.CEILING.MATH(_xlpm.g*_xlpm.s*_xlpm.p,5)))</f>
        <v/>
      </c>
      <c r="M33">
        <f>IF(E33=0,"",F33+_xlfn.XLOOKUP(B33,Parametre!$A$2:$A$7,Parametre!$D$2:$D$7))</f>
        <v/>
      </c>
      <c r="N33">
        <f>_xlfn.LET(_xlpm.g,C33,_xlpm.k,_xlfn.XLOOKUP(B33,Parametre!$A$2:$A$7,Parametre!$E$2:$E$7),IF(H33&lt;1,"",MAX(1,ROUND(_xlpm.g*_xlpm.k,0))))</f>
        <v/>
      </c>
      <c r="O33">
        <f>_xlfn.LET(_xlpm.g,C33,_xlpm.k,_xlfn.XLOOKUP(B33,Parametre!$A$2:$A$7,Parametre!$F$2:$F$7),IF(H33&lt;2,"",MAX(1,ROUND(_xlpm.g*_xlpm.k,0))))</f>
        <v/>
      </c>
      <c r="P33" s="2">
        <f>_xlfn.LET(_xlpm.g,C33,_xlpm.s,J33,_xlpm.t,L33,1-_xlpm.g*_xlpm.s/_xlpm.t)</f>
        <v/>
      </c>
      <c r="Q33">
        <f>_xlfn.LET(_xlpm.m,P33,IF(_xlpm.m&gt;=0.45,3,IF(_xlpm.m&gt;=0.2,2,1)))</f>
        <v/>
      </c>
    </row>
    <row r="34">
      <c r="A34" t="inlineStr">
        <is>
          <t>L33</t>
        </is>
      </c>
      <c r="B34" t="inlineStr">
        <is>
          <t>Zor</t>
        </is>
      </c>
      <c r="C34" t="n">
        <v>35</v>
      </c>
      <c r="D34" t="n">
        <v>3.34</v>
      </c>
      <c r="E34" t="n">
        <v>0</v>
      </c>
      <c r="F34" t="inlineStr"/>
      <c r="G34" t="n">
        <v>0</v>
      </c>
      <c r="H34" t="n">
        <v>1</v>
      </c>
      <c r="I34" t="n">
        <v>50</v>
      </c>
      <c r="J34">
        <f>_xlfn.LET(_xlpm.r,D34,_xlpm.b,E34,_xlpm.f,G34,IF(_xlpm.f=1,1.35,0.6+0.16*_xlpm.r+IF(_xlpm.b&gt;0,0.1,0)))</f>
        <v/>
      </c>
      <c r="K34">
        <f>_xlfn.XLOOKUP(B34,Parametre!$A$2:$A$7,Parametre!$C$2:$C$7)</f>
        <v/>
      </c>
      <c r="L34">
        <f>_xlfn.LET(_xlpm.g,C34,_xlpm.s,J34,_xlpm.p,K34,MIN(75,_xlfn.CEILING.MATH(_xlpm.g*_xlpm.s*_xlpm.p,5)))</f>
        <v/>
      </c>
      <c r="M34">
        <f>IF(E34=0,"",F34+_xlfn.XLOOKUP(B34,Parametre!$A$2:$A$7,Parametre!$D$2:$D$7))</f>
        <v/>
      </c>
      <c r="N34">
        <f>_xlfn.LET(_xlpm.g,C34,_xlpm.k,_xlfn.XLOOKUP(B34,Parametre!$A$2:$A$7,Parametre!$E$2:$E$7),IF(H34&lt;1,"",MAX(1,ROUND(_xlpm.g*_xlpm.k,0))))</f>
        <v/>
      </c>
      <c r="O34">
        <f>_xlfn.LET(_xlpm.g,C34,_xlpm.k,_xlfn.XLOOKUP(B34,Parametre!$A$2:$A$7,Parametre!$F$2:$F$7),IF(H34&lt;2,"",MAX(1,ROUND(_xlpm.g*_xlpm.k,0))))</f>
        <v/>
      </c>
      <c r="P34" s="2">
        <f>_xlfn.LET(_xlpm.g,C34,_xlpm.s,J34,_xlpm.t,L34,1-_xlpm.g*_xlpm.s/_xlpm.t)</f>
        <v/>
      </c>
      <c r="Q34">
        <f>_xlfn.LET(_xlpm.m,P34,IF(_xlpm.m&gt;=0.45,3,IF(_xlpm.m&gt;=0.2,2,1)))</f>
        <v/>
      </c>
    </row>
    <row r="35">
      <c r="A35" t="inlineStr">
        <is>
          <t>L34</t>
        </is>
      </c>
      <c r="B35" t="inlineStr">
        <is>
          <t>Çok zor</t>
        </is>
      </c>
      <c r="C35" t="n">
        <v>35</v>
      </c>
      <c r="D35" t="n">
        <v>4.007</v>
      </c>
      <c r="E35" t="n">
        <v>1</v>
      </c>
      <c r="F35" t="n">
        <v>14</v>
      </c>
      <c r="G35" t="n">
        <v>0</v>
      </c>
      <c r="H35" t="n">
        <v>1</v>
      </c>
      <c r="I35" t="n">
        <v>55</v>
      </c>
      <c r="J35">
        <f>_xlfn.LET(_xlpm.r,D35,_xlpm.b,E35,_xlpm.f,G35,IF(_xlpm.f=1,1.35,0.6+0.16*_xlpm.r+IF(_xlpm.b&gt;0,0.1,0)))</f>
        <v/>
      </c>
      <c r="K35">
        <f>_xlfn.XLOOKUP(B35,Parametre!$A$2:$A$7,Parametre!$C$2:$C$7)</f>
        <v/>
      </c>
      <c r="L35">
        <f>_xlfn.LET(_xlpm.g,C35,_xlpm.s,J35,_xlpm.p,K35,MIN(75,_xlfn.CEILING.MATH(_xlpm.g*_xlpm.s*_xlpm.p,5)))</f>
        <v/>
      </c>
      <c r="M35">
        <f>IF(E35=0,"",F35+_xlfn.XLOOKUP(B35,Parametre!$A$2:$A$7,Parametre!$D$2:$D$7))</f>
        <v/>
      </c>
      <c r="N35">
        <f>_xlfn.LET(_xlpm.g,C35,_xlpm.k,_xlfn.XLOOKUP(B35,Parametre!$A$2:$A$7,Parametre!$E$2:$E$7),IF(H35&lt;1,"",MAX(1,ROUND(_xlpm.g*_xlpm.k,0))))</f>
        <v/>
      </c>
      <c r="O35">
        <f>_xlfn.LET(_xlpm.g,C35,_xlpm.k,_xlfn.XLOOKUP(B35,Parametre!$A$2:$A$7,Parametre!$F$2:$F$7),IF(H35&lt;2,"",MAX(1,ROUND(_xlpm.g*_xlpm.k,0))))</f>
        <v/>
      </c>
      <c r="P35" s="2">
        <f>_xlfn.LET(_xlpm.g,C35,_xlpm.s,J35,_xlpm.t,L35,1-_xlpm.g*_xlpm.s/_xlpm.t)</f>
        <v/>
      </c>
      <c r="Q35">
        <f>_xlfn.LET(_xlpm.m,P35,IF(_xlpm.m&gt;=0.45,3,IF(_xlpm.m&gt;=0.2,2,1)))</f>
        <v/>
      </c>
    </row>
    <row r="36">
      <c r="A36" t="inlineStr">
        <is>
          <t>L35</t>
        </is>
      </c>
      <c r="B36" t="inlineStr">
        <is>
          <t>Çok zor</t>
        </is>
      </c>
      <c r="C36" t="n">
        <v>34</v>
      </c>
      <c r="D36" t="n">
        <v>4.741</v>
      </c>
      <c r="E36" t="n">
        <v>1</v>
      </c>
      <c r="F36" t="n">
        <v>5</v>
      </c>
      <c r="G36" t="n">
        <v>0</v>
      </c>
      <c r="H36" t="n">
        <v>2</v>
      </c>
      <c r="I36" t="n">
        <v>60</v>
      </c>
      <c r="J36">
        <f>_xlfn.LET(_xlpm.r,D36,_xlpm.b,E36,_xlpm.f,G36,IF(_xlpm.f=1,1.35,0.6+0.16*_xlpm.r+IF(_xlpm.b&gt;0,0.1,0)))</f>
        <v/>
      </c>
      <c r="K36">
        <f>_xlfn.XLOOKUP(B36,Parametre!$A$2:$A$7,Parametre!$C$2:$C$7)</f>
        <v/>
      </c>
      <c r="L36">
        <f>_xlfn.LET(_xlpm.g,C36,_xlpm.s,J36,_xlpm.p,K36,MIN(75,_xlfn.CEILING.MATH(_xlpm.g*_xlpm.s*_xlpm.p,5)))</f>
        <v/>
      </c>
      <c r="M36">
        <f>IF(E36=0,"",F36+_xlfn.XLOOKUP(B36,Parametre!$A$2:$A$7,Parametre!$D$2:$D$7))</f>
        <v/>
      </c>
      <c r="N36">
        <f>_xlfn.LET(_xlpm.g,C36,_xlpm.k,_xlfn.XLOOKUP(B36,Parametre!$A$2:$A$7,Parametre!$E$2:$E$7),IF(H36&lt;1,"",MAX(1,ROUND(_xlpm.g*_xlpm.k,0))))</f>
        <v/>
      </c>
      <c r="O36">
        <f>_xlfn.LET(_xlpm.g,C36,_xlpm.k,_xlfn.XLOOKUP(B36,Parametre!$A$2:$A$7,Parametre!$F$2:$F$7),IF(H36&lt;2,"",MAX(1,ROUND(_xlpm.g*_xlpm.k,0))))</f>
        <v/>
      </c>
      <c r="P36" s="2">
        <f>_xlfn.LET(_xlpm.g,C36,_xlpm.s,J36,_xlpm.t,L36,1-_xlpm.g*_xlpm.s/_xlpm.t)</f>
        <v/>
      </c>
      <c r="Q36">
        <f>_xlfn.LET(_xlpm.m,P36,IF(_xlpm.m&gt;=0.45,3,IF(_xlpm.m&gt;=0.2,2,1)))</f>
        <v/>
      </c>
    </row>
    <row r="37">
      <c r="A37" t="inlineStr">
        <is>
          <t>L36</t>
        </is>
      </c>
      <c r="B37" t="inlineStr">
        <is>
          <t>Zor</t>
        </is>
      </c>
      <c r="C37" t="n">
        <v>29</v>
      </c>
      <c r="D37" t="n">
        <v>3.639</v>
      </c>
      <c r="E37" t="n">
        <v>0</v>
      </c>
      <c r="F37" t="inlineStr"/>
      <c r="G37" t="n">
        <v>0</v>
      </c>
      <c r="H37" t="n">
        <v>1</v>
      </c>
      <c r="I37" t="n">
        <v>50</v>
      </c>
      <c r="J37">
        <f>_xlfn.LET(_xlpm.r,D37,_xlpm.b,E37,_xlpm.f,G37,IF(_xlpm.f=1,1.35,0.6+0.16*_xlpm.r+IF(_xlpm.b&gt;0,0.1,0)))</f>
        <v/>
      </c>
      <c r="K37">
        <f>_xlfn.XLOOKUP(B37,Parametre!$A$2:$A$7,Parametre!$C$2:$C$7)</f>
        <v/>
      </c>
      <c r="L37">
        <f>_xlfn.LET(_xlpm.g,C37,_xlpm.s,J37,_xlpm.p,K37,MIN(75,_xlfn.CEILING.MATH(_xlpm.g*_xlpm.s*_xlpm.p,5)))</f>
        <v/>
      </c>
      <c r="M37">
        <f>IF(E37=0,"",F37+_xlfn.XLOOKUP(B37,Parametre!$A$2:$A$7,Parametre!$D$2:$D$7))</f>
        <v/>
      </c>
      <c r="N37">
        <f>_xlfn.LET(_xlpm.g,C37,_xlpm.k,_xlfn.XLOOKUP(B37,Parametre!$A$2:$A$7,Parametre!$E$2:$E$7),IF(H37&lt;1,"",MAX(1,ROUND(_xlpm.g*_xlpm.k,0))))</f>
        <v/>
      </c>
      <c r="O37">
        <f>_xlfn.LET(_xlpm.g,C37,_xlpm.k,_xlfn.XLOOKUP(B37,Parametre!$A$2:$A$7,Parametre!$F$2:$F$7),IF(H37&lt;2,"",MAX(1,ROUND(_xlpm.g*_xlpm.k,0))))</f>
        <v/>
      </c>
      <c r="P37" s="2">
        <f>_xlfn.LET(_xlpm.g,C37,_xlpm.s,J37,_xlpm.t,L37,1-_xlpm.g*_xlpm.s/_xlpm.t)</f>
        <v/>
      </c>
      <c r="Q37">
        <f>_xlfn.LET(_xlpm.m,P37,IF(_xlpm.m&gt;=0.45,3,IF(_xlpm.m&gt;=0.2,2,1)))</f>
        <v/>
      </c>
    </row>
    <row r="38">
      <c r="A38" t="inlineStr">
        <is>
          <t>L37</t>
        </is>
      </c>
      <c r="B38" t="inlineStr">
        <is>
          <t>Orta</t>
        </is>
      </c>
      <c r="C38" t="n">
        <v>35</v>
      </c>
      <c r="D38" t="n">
        <v>3.271</v>
      </c>
      <c r="E38" t="n">
        <v>1</v>
      </c>
      <c r="F38" t="n">
        <v>2</v>
      </c>
      <c r="G38" t="n">
        <v>0</v>
      </c>
      <c r="H38" t="n">
        <v>1</v>
      </c>
      <c r="I38" t="n">
        <v>55</v>
      </c>
      <c r="J38">
        <f>_xlfn.LET(_xlpm.r,D38,_xlpm.b,E38,_xlpm.f,G38,IF(_xlpm.f=1,1.35,0.6+0.16*_xlpm.r+IF(_xlpm.b&gt;0,0.1,0)))</f>
        <v/>
      </c>
      <c r="K38">
        <f>_xlfn.XLOOKUP(B38,Parametre!$A$2:$A$7,Parametre!$C$2:$C$7)</f>
        <v/>
      </c>
      <c r="L38">
        <f>_xlfn.LET(_xlpm.g,C38,_xlpm.s,J38,_xlpm.p,K38,MIN(75,_xlfn.CEILING.MATH(_xlpm.g*_xlpm.s*_xlpm.p,5)))</f>
        <v/>
      </c>
      <c r="M38">
        <f>IF(E38=0,"",F38+_xlfn.XLOOKUP(B38,Parametre!$A$2:$A$7,Parametre!$D$2:$D$7))</f>
        <v/>
      </c>
      <c r="N38">
        <f>_xlfn.LET(_xlpm.g,C38,_xlpm.k,_xlfn.XLOOKUP(B38,Parametre!$A$2:$A$7,Parametre!$E$2:$E$7),IF(H38&lt;1,"",MAX(1,ROUND(_xlpm.g*_xlpm.k,0))))</f>
        <v/>
      </c>
      <c r="O38">
        <f>_xlfn.LET(_xlpm.g,C38,_xlpm.k,_xlfn.XLOOKUP(B38,Parametre!$A$2:$A$7,Parametre!$F$2:$F$7),IF(H38&lt;2,"",MAX(1,ROUND(_xlpm.g*_xlpm.k,0))))</f>
        <v/>
      </c>
      <c r="P38" s="2">
        <f>_xlfn.LET(_xlpm.g,C38,_xlpm.s,J38,_xlpm.t,L38,1-_xlpm.g*_xlpm.s/_xlpm.t)</f>
        <v/>
      </c>
      <c r="Q38">
        <f>_xlfn.LET(_xlpm.m,P38,IF(_xlpm.m&gt;=0.45,3,IF(_xlpm.m&gt;=0.2,2,1)))</f>
        <v/>
      </c>
    </row>
    <row r="39">
      <c r="A39" t="inlineStr">
        <is>
          <t>L38</t>
        </is>
      </c>
      <c r="B39" t="inlineStr">
        <is>
          <t>Zor</t>
        </is>
      </c>
      <c r="C39" t="n">
        <v>35</v>
      </c>
      <c r="D39" t="n">
        <v>3.699</v>
      </c>
      <c r="E39" t="n">
        <v>1</v>
      </c>
      <c r="F39" t="n">
        <v>4</v>
      </c>
      <c r="G39" t="n">
        <v>0</v>
      </c>
      <c r="H39" t="n">
        <v>2</v>
      </c>
      <c r="I39" t="n">
        <v>60</v>
      </c>
      <c r="J39">
        <f>_xlfn.LET(_xlpm.r,D39,_xlpm.b,E39,_xlpm.f,G39,IF(_xlpm.f=1,1.35,0.6+0.16*_xlpm.r+IF(_xlpm.b&gt;0,0.1,0)))</f>
        <v/>
      </c>
      <c r="K39">
        <f>_xlfn.XLOOKUP(B39,Parametre!$A$2:$A$7,Parametre!$C$2:$C$7)</f>
        <v/>
      </c>
      <c r="L39">
        <f>_xlfn.LET(_xlpm.g,C39,_xlpm.s,J39,_xlpm.p,K39,MIN(75,_xlfn.CEILING.MATH(_xlpm.g*_xlpm.s*_xlpm.p,5)))</f>
        <v/>
      </c>
      <c r="M39">
        <f>IF(E39=0,"",F39+_xlfn.XLOOKUP(B39,Parametre!$A$2:$A$7,Parametre!$D$2:$D$7))</f>
        <v/>
      </c>
      <c r="N39">
        <f>_xlfn.LET(_xlpm.g,C39,_xlpm.k,_xlfn.XLOOKUP(B39,Parametre!$A$2:$A$7,Parametre!$E$2:$E$7),IF(H39&lt;1,"",MAX(1,ROUND(_xlpm.g*_xlpm.k,0))))</f>
        <v/>
      </c>
      <c r="O39">
        <f>_xlfn.LET(_xlpm.g,C39,_xlpm.k,_xlfn.XLOOKUP(B39,Parametre!$A$2:$A$7,Parametre!$F$2:$F$7),IF(H39&lt;2,"",MAX(1,ROUND(_xlpm.g*_xlpm.k,0))))</f>
        <v/>
      </c>
      <c r="P39" s="2">
        <f>_xlfn.LET(_xlpm.g,C39,_xlpm.s,J39,_xlpm.t,L39,1-_xlpm.g*_xlpm.s/_xlpm.t)</f>
        <v/>
      </c>
      <c r="Q39">
        <f>_xlfn.LET(_xlpm.m,P39,IF(_xlpm.m&gt;=0.45,3,IF(_xlpm.m&gt;=0.2,2,1)))</f>
        <v/>
      </c>
    </row>
    <row r="40">
      <c r="A40" t="inlineStr">
        <is>
          <t>L39</t>
        </is>
      </c>
      <c r="B40" t="inlineStr">
        <is>
          <t>Çok zor</t>
        </is>
      </c>
      <c r="C40" t="n">
        <v>40</v>
      </c>
      <c r="D40" t="n">
        <v>4.514</v>
      </c>
      <c r="E40" t="n">
        <v>1</v>
      </c>
      <c r="F40" t="n">
        <v>3</v>
      </c>
      <c r="G40" t="n">
        <v>0</v>
      </c>
      <c r="H40" t="n">
        <v>2</v>
      </c>
      <c r="I40" t="n">
        <v>70</v>
      </c>
      <c r="J40">
        <f>_xlfn.LET(_xlpm.r,D40,_xlpm.b,E40,_xlpm.f,G40,IF(_xlpm.f=1,1.35,0.6+0.16*_xlpm.r+IF(_xlpm.b&gt;0,0.1,0)))</f>
        <v/>
      </c>
      <c r="K40">
        <f>_xlfn.XLOOKUP(B40,Parametre!$A$2:$A$7,Parametre!$C$2:$C$7)</f>
        <v/>
      </c>
      <c r="L40">
        <f>_xlfn.LET(_xlpm.g,C40,_xlpm.s,J40,_xlpm.p,K40,MIN(75,_xlfn.CEILING.MATH(_xlpm.g*_xlpm.s*_xlpm.p,5)))</f>
        <v/>
      </c>
      <c r="M40">
        <f>IF(E40=0,"",F40+_xlfn.XLOOKUP(B40,Parametre!$A$2:$A$7,Parametre!$D$2:$D$7))</f>
        <v/>
      </c>
      <c r="N40">
        <f>_xlfn.LET(_xlpm.g,C40,_xlpm.k,_xlfn.XLOOKUP(B40,Parametre!$A$2:$A$7,Parametre!$E$2:$E$7),IF(H40&lt;1,"",MAX(1,ROUND(_xlpm.g*_xlpm.k,0))))</f>
        <v/>
      </c>
      <c r="O40">
        <f>_xlfn.LET(_xlpm.g,C40,_xlpm.k,_xlfn.XLOOKUP(B40,Parametre!$A$2:$A$7,Parametre!$F$2:$F$7),IF(H40&lt;2,"",MAX(1,ROUND(_xlpm.g*_xlpm.k,0))))</f>
        <v/>
      </c>
      <c r="P40" s="2">
        <f>_xlfn.LET(_xlpm.g,C40,_xlpm.s,J40,_xlpm.t,L40,1-_xlpm.g*_xlpm.s/_xlpm.t)</f>
        <v/>
      </c>
      <c r="Q40">
        <f>_xlfn.LET(_xlpm.m,P40,IF(_xlpm.m&gt;=0.45,3,IF(_xlpm.m&gt;=0.2,2,1)))</f>
        <v/>
      </c>
    </row>
    <row r="41">
      <c r="A41" t="inlineStr">
        <is>
          <t>L40</t>
        </is>
      </c>
      <c r="B41" t="inlineStr">
        <is>
          <t>Çok zor</t>
        </is>
      </c>
      <c r="C41" t="n">
        <v>39</v>
      </c>
      <c r="D41" t="n">
        <v>4.075</v>
      </c>
      <c r="E41" t="n">
        <v>2</v>
      </c>
      <c r="F41" t="n">
        <v>2</v>
      </c>
      <c r="G41" t="n">
        <v>0</v>
      </c>
      <c r="H41" t="n">
        <v>2</v>
      </c>
      <c r="I41" t="n">
        <v>65</v>
      </c>
      <c r="J41">
        <f>_xlfn.LET(_xlpm.r,D41,_xlpm.b,E41,_xlpm.f,G41,IF(_xlpm.f=1,1.35,0.6+0.16*_xlpm.r+IF(_xlpm.b&gt;0,0.1,0)))</f>
        <v/>
      </c>
      <c r="K41">
        <f>_xlfn.XLOOKUP(B41,Parametre!$A$2:$A$7,Parametre!$C$2:$C$7)</f>
        <v/>
      </c>
      <c r="L41">
        <f>_xlfn.LET(_xlpm.g,C41,_xlpm.s,J41,_xlpm.p,K41,MIN(75,_xlfn.CEILING.MATH(_xlpm.g*_xlpm.s*_xlpm.p,5)))</f>
        <v/>
      </c>
      <c r="M41">
        <f>IF(E41=0,"",F41+_xlfn.XLOOKUP(B41,Parametre!$A$2:$A$7,Parametre!$D$2:$D$7))</f>
        <v/>
      </c>
      <c r="N41">
        <f>_xlfn.LET(_xlpm.g,C41,_xlpm.k,_xlfn.XLOOKUP(B41,Parametre!$A$2:$A$7,Parametre!$E$2:$E$7),IF(H41&lt;1,"",MAX(1,ROUND(_xlpm.g*_xlpm.k,0))))</f>
        <v/>
      </c>
      <c r="O41">
        <f>_xlfn.LET(_xlpm.g,C41,_xlpm.k,_xlfn.XLOOKUP(B41,Parametre!$A$2:$A$7,Parametre!$F$2:$F$7),IF(H41&lt;2,"",MAX(1,ROUND(_xlpm.g*_xlpm.k,0))))</f>
        <v/>
      </c>
      <c r="P41" s="2">
        <f>_xlfn.LET(_xlpm.g,C41,_xlpm.s,J41,_xlpm.t,L41,1-_xlpm.g*_xlpm.s/_xlpm.t)</f>
        <v/>
      </c>
      <c r="Q41">
        <f>_xlfn.LET(_xlpm.m,P41,IF(_xlpm.m&gt;=0.45,3,IF(_xlpm.m&gt;=0.2,2,1)))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Slot</t>
        </is>
      </c>
      <c r="B1" s="1" t="inlineStr">
        <is>
          <t>Tür</t>
        </is>
      </c>
      <c r="C1" s="1" t="inlineStr">
        <is>
          <t>Yeni</t>
        </is>
      </c>
      <c r="D1" s="1" t="inlineStr">
        <is>
          <t>Seviye</t>
        </is>
      </c>
      <c r="E1" s="1" t="inlineStr">
        <is>
          <t>Durum</t>
        </is>
      </c>
      <c r="F1" s="1" t="inlineStr">
        <is>
          <t>Tahta</t>
        </is>
      </c>
      <c r="G1" s="1" t="inlineStr">
        <is>
          <t>Gövde</t>
        </is>
      </c>
      <c r="H1" s="1" t="inlineStr">
        <is>
          <t>Süre</t>
        </is>
      </c>
      <c r="I1" s="1" t="inlineStr">
        <is>
          <t>P</t>
        </is>
      </c>
      <c r="J1" s="1" t="inlineStr">
        <is>
          <t>Okuma</t>
        </is>
      </c>
      <c r="K1" s="1" t="inlineStr">
        <is>
          <t>İlk hamlede serbest</t>
        </is>
      </c>
      <c r="L1" s="1" t="inlineStr">
        <is>
          <t>Keyif tahmini</t>
        </is>
      </c>
      <c r="M1" s="1" t="inlineStr">
        <is>
          <t>Hayal kırıklığı</t>
        </is>
      </c>
      <c r="N1" s="1" t="inlineStr">
        <is>
          <t>Sıkıcı</t>
        </is>
      </c>
      <c r="O1" s="1" t="inlineStr">
        <is>
          <t>İlk deneme</t>
        </is>
      </c>
      <c r="P1" s="1" t="inlineStr">
        <is>
          <t>3 denemede</t>
        </is>
      </c>
      <c r="Q1" s="1" t="inlineStr">
        <is>
          <t>Near-miss</t>
        </is>
      </c>
      <c r="R1" s="1" t="inlineStr">
        <is>
          <t>Eğri uyumu</t>
        </is>
      </c>
    </row>
    <row r="2">
      <c r="A2" t="n">
        <v>1</v>
      </c>
      <c r="B2" t="inlineStr">
        <is>
          <t>Tanıtım</t>
        </is>
      </c>
      <c r="C2" t="inlineStr"/>
      <c r="D2" t="inlineStr">
        <is>
          <t>C01-2086a88b</t>
        </is>
      </c>
      <c r="E2" t="inlineStr">
        <is>
          <t>finalist</t>
        </is>
      </c>
      <c r="F2" t="inlineStr">
        <is>
          <t>4×5</t>
        </is>
      </c>
      <c r="G2" t="n">
        <v>20</v>
      </c>
      <c r="H2" t="n">
        <v>60</v>
      </c>
      <c r="I2" t="n">
        <v>2.22</v>
      </c>
      <c r="J2" t="n">
        <v>1.65</v>
      </c>
      <c r="K2" t="n">
        <v>9</v>
      </c>
      <c r="L2" s="2" t="n">
        <v>1</v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0.001</v>
      </c>
    </row>
    <row r="3">
      <c r="A3" t="n">
        <v>2</v>
      </c>
      <c r="B3" t="inlineStr">
        <is>
          <t>Kolay</t>
        </is>
      </c>
      <c r="C3" t="inlineStr"/>
      <c r="D3" t="inlineStr">
        <is>
          <t>C02-9bca8ba7</t>
        </is>
      </c>
      <c r="E3" t="inlineStr">
        <is>
          <t>finalist</t>
        </is>
      </c>
      <c r="F3" t="inlineStr">
        <is>
          <t>4×5</t>
        </is>
      </c>
      <c r="G3" t="n">
        <v>20</v>
      </c>
      <c r="H3" t="n">
        <v>35</v>
      </c>
      <c r="I3" t="n">
        <v>2.04</v>
      </c>
      <c r="J3" t="n">
        <v>1.62</v>
      </c>
      <c r="K3" t="n">
        <v>8</v>
      </c>
      <c r="L3" s="2" t="n">
        <v>0.981</v>
      </c>
      <c r="M3" s="2" t="n">
        <v>0.018</v>
      </c>
      <c r="N3" s="2" t="n">
        <v>0.001</v>
      </c>
      <c r="O3" s="2" t="n">
        <v>0.967</v>
      </c>
      <c r="P3" s="2" t="n">
        <v>0.983</v>
      </c>
      <c r="Q3" s="2" t="n">
        <v>0.047</v>
      </c>
    </row>
    <row r="4">
      <c r="A4" t="n">
        <v>3</v>
      </c>
      <c r="B4" t="inlineStr">
        <is>
          <t>Tanıtım</t>
        </is>
      </c>
      <c r="C4" t="inlineStr">
        <is>
          <t>çivi</t>
        </is>
      </c>
      <c r="D4" t="inlineStr">
        <is>
          <t>C03-40f02903</t>
        </is>
      </c>
      <c r="E4" t="inlineStr">
        <is>
          <t>finalist</t>
        </is>
      </c>
      <c r="F4" t="inlineStr">
        <is>
          <t>5×6</t>
        </is>
      </c>
      <c r="G4" t="n">
        <v>30</v>
      </c>
      <c r="H4" t="n">
        <v>65</v>
      </c>
      <c r="I4" t="n">
        <v>2.28</v>
      </c>
      <c r="J4" t="n">
        <v>2.19</v>
      </c>
      <c r="K4" t="n">
        <v>9</v>
      </c>
      <c r="L4" s="2" t="n">
        <v>0.984</v>
      </c>
      <c r="M4" s="2" t="n">
        <v>0.016</v>
      </c>
      <c r="N4" s="2" t="n">
        <v>0</v>
      </c>
      <c r="O4" s="2" t="n">
        <v>0.984</v>
      </c>
      <c r="P4" s="2" t="n">
        <v>0.996</v>
      </c>
      <c r="Q4" s="2" t="n">
        <v>0.026</v>
      </c>
    </row>
    <row r="5">
      <c r="A5" t="n">
        <v>4</v>
      </c>
      <c r="B5" t="inlineStr">
        <is>
          <t>Kolay</t>
        </is>
      </c>
      <c r="C5" t="inlineStr"/>
      <c r="D5" t="inlineStr">
        <is>
          <t>C04-047aa68d</t>
        </is>
      </c>
      <c r="E5" t="inlineStr">
        <is>
          <t>finalist</t>
        </is>
      </c>
      <c r="F5" t="inlineStr">
        <is>
          <t>5×5</t>
        </is>
      </c>
      <c r="G5" t="n">
        <v>25</v>
      </c>
      <c r="H5" t="n">
        <v>45</v>
      </c>
      <c r="I5" t="n">
        <v>2</v>
      </c>
      <c r="J5" t="n">
        <v>1.86</v>
      </c>
      <c r="K5" t="n">
        <v>11</v>
      </c>
      <c r="L5" s="2" t="n">
        <v>0.981</v>
      </c>
      <c r="M5" s="2" t="n">
        <v>0.017</v>
      </c>
      <c r="N5" s="2" t="n">
        <v>0.002</v>
      </c>
      <c r="O5" s="2" t="n">
        <v>0.966</v>
      </c>
      <c r="P5" s="2" t="n">
        <v>0.983</v>
      </c>
      <c r="Q5" s="2" t="n">
        <v>0.039</v>
      </c>
    </row>
    <row r="6">
      <c r="A6" t="n">
        <v>5</v>
      </c>
      <c r="B6" t="inlineStr">
        <is>
          <t>Tanıtım</t>
        </is>
      </c>
      <c r="C6" t="inlineStr">
        <is>
          <t>makas</t>
        </is>
      </c>
      <c r="D6" t="inlineStr">
        <is>
          <t>C05-8fcbc1dd</t>
        </is>
      </c>
      <c r="E6" t="inlineStr">
        <is>
          <t>finalist</t>
        </is>
      </c>
      <c r="F6" t="inlineStr">
        <is>
          <t>5×6</t>
        </is>
      </c>
      <c r="G6" t="n">
        <v>30</v>
      </c>
      <c r="H6" t="n">
        <v>60</v>
      </c>
      <c r="I6" t="n">
        <v>2.24</v>
      </c>
      <c r="J6" t="n">
        <v>1.83</v>
      </c>
      <c r="K6" t="n">
        <v>8</v>
      </c>
      <c r="L6" s="2" t="n">
        <v>0.981</v>
      </c>
      <c r="M6" s="2" t="n">
        <v>0.019</v>
      </c>
      <c r="N6" s="2" t="n">
        <v>0</v>
      </c>
      <c r="O6" s="2" t="n">
        <v>0.981</v>
      </c>
      <c r="P6" s="2" t="n">
        <v>0.993</v>
      </c>
      <c r="Q6" s="2" t="n">
        <v>0.029</v>
      </c>
    </row>
    <row r="7">
      <c r="A7" t="n">
        <v>6</v>
      </c>
      <c r="B7" t="inlineStr">
        <is>
          <t>Orta</t>
        </is>
      </c>
      <c r="C7" t="inlineStr"/>
      <c r="D7" t="inlineStr">
        <is>
          <t>C06-0f100185</t>
        </is>
      </c>
      <c r="E7" t="inlineStr">
        <is>
          <t>finalist</t>
        </is>
      </c>
      <c r="F7" t="inlineStr">
        <is>
          <t>5×6</t>
        </is>
      </c>
      <c r="G7" t="n">
        <v>30</v>
      </c>
      <c r="H7" t="n">
        <v>55</v>
      </c>
      <c r="I7" t="n">
        <v>1.71</v>
      </c>
      <c r="J7" t="n">
        <v>2.96</v>
      </c>
      <c r="K7" t="n">
        <v>6</v>
      </c>
      <c r="L7" s="2" t="n">
        <v>0.954</v>
      </c>
      <c r="M7" s="2" t="n">
        <v>0.046</v>
      </c>
      <c r="N7" s="2" t="n">
        <v>0</v>
      </c>
      <c r="O7" s="2" t="n">
        <v>0.895</v>
      </c>
      <c r="P7" s="2" t="n">
        <v>0.966</v>
      </c>
      <c r="Q7" s="2" t="n">
        <v>0.116</v>
      </c>
      <c r="R7" t="n">
        <v>0.5600000000000001</v>
      </c>
    </row>
    <row r="8">
      <c r="A8" t="n">
        <v>7</v>
      </c>
      <c r="B8" t="inlineStr">
        <is>
          <t>Tanıtım</t>
        </is>
      </c>
      <c r="C8" t="inlineStr">
        <is>
          <t>mühür</t>
        </is>
      </c>
      <c r="D8" t="inlineStr">
        <is>
          <t>C07-4ef0899b</t>
        </is>
      </c>
      <c r="E8" t="inlineStr">
        <is>
          <t>finalist</t>
        </is>
      </c>
      <c r="F8" t="inlineStr">
        <is>
          <t>5×6</t>
        </is>
      </c>
      <c r="G8" t="n">
        <v>30</v>
      </c>
      <c r="H8" t="n">
        <v>60</v>
      </c>
      <c r="I8" t="n">
        <v>2.3</v>
      </c>
      <c r="J8" t="n">
        <v>1.7</v>
      </c>
      <c r="K8" t="n">
        <v>12</v>
      </c>
      <c r="L8" s="2" t="n">
        <v>0.985</v>
      </c>
      <c r="M8" s="2" t="n">
        <v>0.015</v>
      </c>
      <c r="N8" s="2" t="n">
        <v>0</v>
      </c>
      <c r="O8" s="2" t="n">
        <v>0.985</v>
      </c>
      <c r="P8" s="2" t="n">
        <v>0.992</v>
      </c>
      <c r="Q8" s="2" t="n">
        <v>0.027</v>
      </c>
    </row>
    <row r="9">
      <c r="A9" t="n">
        <v>8</v>
      </c>
      <c r="B9" t="inlineStr">
        <is>
          <t>Kolay</t>
        </is>
      </c>
      <c r="C9" t="inlineStr"/>
      <c r="D9" t="inlineStr">
        <is>
          <t>C08-184d7c45</t>
        </is>
      </c>
      <c r="E9" t="inlineStr">
        <is>
          <t>finalist</t>
        </is>
      </c>
      <c r="F9" t="inlineStr">
        <is>
          <t>5×6</t>
        </is>
      </c>
      <c r="G9" t="n">
        <v>30</v>
      </c>
      <c r="H9" t="n">
        <v>55</v>
      </c>
      <c r="I9" t="n">
        <v>2.1</v>
      </c>
      <c r="J9" t="n">
        <v>1.71</v>
      </c>
      <c r="K9" t="n">
        <v>10</v>
      </c>
      <c r="L9" s="2" t="n">
        <v>0.983</v>
      </c>
      <c r="M9" s="2" t="n">
        <v>0.017</v>
      </c>
      <c r="N9" s="2" t="n">
        <v>0</v>
      </c>
      <c r="O9" s="2" t="n">
        <v>0.965</v>
      </c>
      <c r="P9" s="2" t="n">
        <v>0.984</v>
      </c>
      <c r="Q9" s="2" t="n">
        <v>0.043</v>
      </c>
    </row>
    <row r="10">
      <c r="A10" t="n">
        <v>9</v>
      </c>
      <c r="B10" t="inlineStr">
        <is>
          <t>Tanıtım</t>
        </is>
      </c>
      <c r="C10" t="inlineStr">
        <is>
          <t>değnek</t>
        </is>
      </c>
      <c r="D10" t="inlineStr">
        <is>
          <t>C09-111692a5</t>
        </is>
      </c>
      <c r="E10" t="inlineStr">
        <is>
          <t>finalist</t>
        </is>
      </c>
      <c r="F10" t="inlineStr">
        <is>
          <t>5×6</t>
        </is>
      </c>
      <c r="G10" t="n">
        <v>30</v>
      </c>
      <c r="H10" t="n">
        <v>60</v>
      </c>
      <c r="I10" t="n">
        <v>2.25</v>
      </c>
      <c r="J10" t="n">
        <v>1.8</v>
      </c>
      <c r="K10" t="n">
        <v>11</v>
      </c>
      <c r="L10" s="2" t="n">
        <v>0.984</v>
      </c>
      <c r="M10" s="2" t="n">
        <v>0.016</v>
      </c>
      <c r="N10" s="2" t="n">
        <v>0</v>
      </c>
      <c r="O10" s="2" t="n">
        <v>0.984</v>
      </c>
      <c r="P10" s="2" t="n">
        <v>0.993</v>
      </c>
      <c r="Q10" s="2" t="n">
        <v>0.025</v>
      </c>
    </row>
    <row r="11">
      <c r="A11" t="n">
        <v>10</v>
      </c>
      <c r="B11" t="inlineStr">
        <is>
          <t>Zor</t>
        </is>
      </c>
      <c r="C11" t="inlineStr"/>
      <c r="D11" t="inlineStr">
        <is>
          <t>C10-163b2367</t>
        </is>
      </c>
      <c r="E11" t="inlineStr">
        <is>
          <t>finalist</t>
        </is>
      </c>
      <c r="F11" t="inlineStr">
        <is>
          <t>6×6</t>
        </is>
      </c>
      <c r="G11" t="n">
        <v>36</v>
      </c>
      <c r="H11" t="n">
        <v>50</v>
      </c>
      <c r="I11" t="n">
        <v>1.13</v>
      </c>
      <c r="J11" t="n">
        <v>3.96</v>
      </c>
      <c r="K11" t="n">
        <v>7</v>
      </c>
      <c r="L11" s="2" t="n">
        <v>0.773</v>
      </c>
      <c r="M11" s="2" t="n">
        <v>0.227</v>
      </c>
      <c r="N11" s="2" t="n">
        <v>0</v>
      </c>
      <c r="O11" s="2" t="n">
        <v>0.624</v>
      </c>
      <c r="P11" s="2" t="n">
        <v>0.8149999999999999</v>
      </c>
      <c r="Q11" s="2" t="n">
        <v>0.243</v>
      </c>
      <c r="R11" t="n">
        <v>0.5600000000000001</v>
      </c>
    </row>
    <row r="12">
      <c r="A12" t="n">
        <v>11</v>
      </c>
      <c r="B12" t="inlineStr">
        <is>
          <t>Nefes</t>
        </is>
      </c>
      <c r="C12" t="inlineStr"/>
      <c r="D12" t="inlineStr">
        <is>
          <t>C11-031194a1</t>
        </is>
      </c>
      <c r="E12" t="inlineStr">
        <is>
          <t>finalist</t>
        </is>
      </c>
      <c r="F12" t="inlineStr">
        <is>
          <t>5×6</t>
        </is>
      </c>
      <c r="G12" t="n">
        <v>30</v>
      </c>
      <c r="H12" t="n">
        <v>60</v>
      </c>
      <c r="I12" t="n">
        <v>2.11</v>
      </c>
      <c r="J12" t="n">
        <v>2.17</v>
      </c>
      <c r="K12" t="n">
        <v>12</v>
      </c>
      <c r="L12" s="2" t="n">
        <v>0.983</v>
      </c>
      <c r="M12" s="2" t="n">
        <v>0.017</v>
      </c>
      <c r="N12" s="2" t="n">
        <v>0</v>
      </c>
      <c r="O12" s="2" t="n">
        <v>0.955</v>
      </c>
      <c r="P12" s="2" t="n">
        <v>0.985</v>
      </c>
      <c r="Q12" s="2" t="n">
        <v>0.05</v>
      </c>
    </row>
    <row r="13">
      <c r="A13" t="n">
        <v>12</v>
      </c>
      <c r="B13" t="inlineStr">
        <is>
          <t>Tanıtım</t>
        </is>
      </c>
      <c r="C13" t="inlineStr">
        <is>
          <t>zincir</t>
        </is>
      </c>
      <c r="D13" t="inlineStr">
        <is>
          <t>C12-782c6447</t>
        </is>
      </c>
      <c r="E13" t="inlineStr">
        <is>
          <t>finalist</t>
        </is>
      </c>
      <c r="F13" t="inlineStr">
        <is>
          <t>5×6</t>
        </is>
      </c>
      <c r="G13" t="n">
        <v>28</v>
      </c>
      <c r="H13" t="n">
        <v>55</v>
      </c>
      <c r="I13" t="n">
        <v>2.27</v>
      </c>
      <c r="J13" t="n">
        <v>1.66</v>
      </c>
      <c r="K13" t="n">
        <v>11</v>
      </c>
      <c r="L13" s="2" t="n">
        <v>0.985</v>
      </c>
      <c r="M13" s="2" t="n">
        <v>0.015</v>
      </c>
      <c r="N13" s="2" t="n">
        <v>0</v>
      </c>
      <c r="O13" s="2" t="n">
        <v>0.985</v>
      </c>
      <c r="P13" s="2" t="n">
        <v>0.993</v>
      </c>
      <c r="Q13" s="2" t="n">
        <v>0.031</v>
      </c>
    </row>
    <row r="14">
      <c r="A14" t="n">
        <v>13</v>
      </c>
      <c r="B14" t="inlineStr">
        <is>
          <t>Orta</t>
        </is>
      </c>
      <c r="C14" t="inlineStr"/>
      <c r="D14" t="inlineStr">
        <is>
          <t>C13-51d0b947</t>
        </is>
      </c>
      <c r="E14" t="inlineStr">
        <is>
          <t>finalist</t>
        </is>
      </c>
      <c r="F14" t="inlineStr">
        <is>
          <t>6×6</t>
        </is>
      </c>
      <c r="G14" t="n">
        <v>34</v>
      </c>
      <c r="H14" t="n">
        <v>60</v>
      </c>
      <c r="I14" t="n">
        <v>1.69</v>
      </c>
      <c r="J14" t="n">
        <v>2.78</v>
      </c>
      <c r="K14" t="n">
        <v>8</v>
      </c>
      <c r="L14" s="2" t="n">
        <v>0.955</v>
      </c>
      <c r="M14" s="2" t="n">
        <v>0.045</v>
      </c>
      <c r="N14" s="2" t="n">
        <v>0</v>
      </c>
      <c r="O14" s="2" t="n">
        <v>0.888</v>
      </c>
      <c r="P14" s="2" t="n">
        <v>0.963</v>
      </c>
      <c r="Q14" s="2" t="n">
        <v>0.117</v>
      </c>
      <c r="R14" t="n">
        <v>0.73</v>
      </c>
    </row>
    <row r="15">
      <c r="A15" t="n">
        <v>14</v>
      </c>
      <c r="B15" t="inlineStr">
        <is>
          <t>Zor</t>
        </is>
      </c>
      <c r="C15" t="inlineStr"/>
      <c r="D15" t="inlineStr">
        <is>
          <t>C14-bb52f55f</t>
        </is>
      </c>
      <c r="E15" t="inlineStr">
        <is>
          <t>finalist</t>
        </is>
      </c>
      <c r="F15" t="inlineStr">
        <is>
          <t>6×6</t>
        </is>
      </c>
      <c r="G15" t="n">
        <v>35</v>
      </c>
      <c r="H15" t="n">
        <v>50</v>
      </c>
      <c r="I15" t="n">
        <v>1.2</v>
      </c>
      <c r="J15" t="n">
        <v>3.69</v>
      </c>
      <c r="K15" t="n">
        <v>7</v>
      </c>
      <c r="L15" s="2" t="n">
        <v>0.77</v>
      </c>
      <c r="M15" s="2" t="n">
        <v>0.23</v>
      </c>
      <c r="N15" s="2" t="n">
        <v>0</v>
      </c>
      <c r="O15" s="2" t="n">
        <v>0.641</v>
      </c>
      <c r="P15" s="2" t="n">
        <v>0.826</v>
      </c>
      <c r="Q15" s="2" t="n">
        <v>0.242</v>
      </c>
      <c r="R15" t="n">
        <v>0.62</v>
      </c>
    </row>
    <row r="16">
      <c r="A16" t="n">
        <v>15</v>
      </c>
      <c r="B16" t="inlineStr">
        <is>
          <t>Tanıtım</t>
        </is>
      </c>
      <c r="C16" t="inlineStr">
        <is>
          <t>saat</t>
        </is>
      </c>
      <c r="D16" t="inlineStr">
        <is>
          <t>C15-6d50aae9</t>
        </is>
      </c>
      <c r="E16" t="inlineStr">
        <is>
          <t>finalist</t>
        </is>
      </c>
      <c r="F16" t="inlineStr">
        <is>
          <t>5×6</t>
        </is>
      </c>
      <c r="G16" t="n">
        <v>30</v>
      </c>
      <c r="H16" t="n">
        <v>60</v>
      </c>
      <c r="I16" t="n">
        <v>2.3</v>
      </c>
      <c r="J16" t="n">
        <v>1.67</v>
      </c>
      <c r="K16" t="n">
        <v>13</v>
      </c>
      <c r="L16" s="2" t="n">
        <v>0.979</v>
      </c>
      <c r="M16" s="2" t="n">
        <v>0.021</v>
      </c>
      <c r="N16" s="2" t="n">
        <v>0</v>
      </c>
      <c r="O16" s="2" t="n">
        <v>0.979</v>
      </c>
      <c r="P16" s="2" t="n">
        <v>0.993</v>
      </c>
      <c r="Q16" s="2" t="n">
        <v>0.025</v>
      </c>
    </row>
    <row r="17">
      <c r="A17" t="n">
        <v>16</v>
      </c>
      <c r="B17" t="inlineStr">
        <is>
          <t>Orta</t>
        </is>
      </c>
      <c r="C17" t="inlineStr"/>
      <c r="D17" t="inlineStr">
        <is>
          <t>C16-866b071d</t>
        </is>
      </c>
      <c r="E17" t="inlineStr">
        <is>
          <t>finalist</t>
        </is>
      </c>
      <c r="F17" t="inlineStr">
        <is>
          <t>6×6</t>
        </is>
      </c>
      <c r="G17" t="n">
        <v>34</v>
      </c>
      <c r="H17" t="n">
        <v>60</v>
      </c>
      <c r="I17" t="n">
        <v>1.69</v>
      </c>
      <c r="J17" t="n">
        <v>2.78</v>
      </c>
      <c r="K17" t="n">
        <v>8</v>
      </c>
      <c r="L17" s="2" t="n">
        <v>0.947</v>
      </c>
      <c r="M17" s="2" t="n">
        <v>0.053</v>
      </c>
      <c r="N17" s="2" t="n">
        <v>0</v>
      </c>
      <c r="O17" s="2" t="n">
        <v>0.895</v>
      </c>
      <c r="P17" s="2" t="n">
        <v>0.96</v>
      </c>
      <c r="Q17" s="2" t="n">
        <v>0.098</v>
      </c>
      <c r="R17" t="n">
        <v>0.5600000000000001</v>
      </c>
    </row>
    <row r="18">
      <c r="A18" t="n">
        <v>17</v>
      </c>
      <c r="B18" t="inlineStr">
        <is>
          <t>Zor</t>
        </is>
      </c>
      <c r="C18" t="inlineStr"/>
      <c r="D18" t="inlineStr">
        <is>
          <t>C17-73ba08a9</t>
        </is>
      </c>
      <c r="E18" t="inlineStr">
        <is>
          <t>finalist</t>
        </is>
      </c>
      <c r="F18" t="inlineStr">
        <is>
          <t>6×6</t>
        </is>
      </c>
      <c r="G18" t="n">
        <v>33</v>
      </c>
      <c r="H18" t="n">
        <v>50</v>
      </c>
      <c r="I18" t="n">
        <v>1.26</v>
      </c>
      <c r="J18" t="n">
        <v>3.74</v>
      </c>
      <c r="K18" t="n">
        <v>7</v>
      </c>
      <c r="L18" s="2" t="n">
        <v>0.781</v>
      </c>
      <c r="M18" s="2" t="n">
        <v>0.219</v>
      </c>
      <c r="N18" s="2" t="n">
        <v>0</v>
      </c>
      <c r="O18" s="2" t="n">
        <v>0.648</v>
      </c>
      <c r="P18" s="2" t="n">
        <v>0.848</v>
      </c>
      <c r="Q18" s="2" t="n">
        <v>0.204</v>
      </c>
      <c r="R18" t="n">
        <v>0.75</v>
      </c>
    </row>
    <row r="19">
      <c r="A19" t="n">
        <v>18</v>
      </c>
      <c r="B19" t="inlineStr">
        <is>
          <t>Nefes</t>
        </is>
      </c>
      <c r="C19" t="inlineStr"/>
      <c r="D19" t="inlineStr">
        <is>
          <t>C18-1107bea7</t>
        </is>
      </c>
      <c r="E19" t="inlineStr">
        <is>
          <t>finalist</t>
        </is>
      </c>
      <c r="F19" t="inlineStr">
        <is>
          <t>5×6</t>
        </is>
      </c>
      <c r="G19" t="n">
        <v>29</v>
      </c>
      <c r="H19" t="n">
        <v>55</v>
      </c>
      <c r="I19" t="n">
        <v>2.05</v>
      </c>
      <c r="J19" t="n">
        <v>2.02</v>
      </c>
      <c r="K19" t="n">
        <v>10</v>
      </c>
      <c r="L19" s="2" t="n">
        <v>0.987</v>
      </c>
      <c r="M19" s="2" t="n">
        <v>0.013</v>
      </c>
      <c r="N19" s="2" t="n">
        <v>0</v>
      </c>
      <c r="O19" s="2" t="n">
        <v>0.965</v>
      </c>
      <c r="P19" s="2" t="n">
        <v>0.988</v>
      </c>
      <c r="Q19" s="2" t="n">
        <v>0.045</v>
      </c>
    </row>
    <row r="20">
      <c r="A20" t="n">
        <v>19</v>
      </c>
      <c r="B20" t="inlineStr">
        <is>
          <t>Zor</t>
        </is>
      </c>
      <c r="C20" t="inlineStr"/>
      <c r="D20" t="inlineStr">
        <is>
          <t>C19-f6b3e601</t>
        </is>
      </c>
      <c r="E20" t="inlineStr">
        <is>
          <t>finalist</t>
        </is>
      </c>
      <c r="F20" t="inlineStr">
        <is>
          <t>6×6</t>
        </is>
      </c>
      <c r="G20" t="n">
        <v>33</v>
      </c>
      <c r="H20" t="n">
        <v>50</v>
      </c>
      <c r="I20" t="n">
        <v>1.23</v>
      </c>
      <c r="J20" t="n">
        <v>3.92</v>
      </c>
      <c r="K20" t="n">
        <v>5</v>
      </c>
      <c r="L20" s="2" t="n">
        <v>0.757</v>
      </c>
      <c r="M20" s="2" t="n">
        <v>0.243</v>
      </c>
      <c r="N20" s="2" t="n">
        <v>0</v>
      </c>
      <c r="O20" s="2" t="n">
        <v>0.63</v>
      </c>
      <c r="P20" s="2" t="n">
        <v>0.841</v>
      </c>
      <c r="Q20" s="2" t="n">
        <v>0.22</v>
      </c>
      <c r="R20" t="n">
        <v>0.5600000000000001</v>
      </c>
    </row>
    <row r="21">
      <c r="A21" t="n">
        <v>20</v>
      </c>
      <c r="B21" t="inlineStr">
        <is>
          <t>Tanıtım</t>
        </is>
      </c>
      <c r="C21" t="inlineStr">
        <is>
          <t>bomba</t>
        </is>
      </c>
      <c r="D21" t="inlineStr">
        <is>
          <t>C20-45673591</t>
        </is>
      </c>
      <c r="E21" t="inlineStr">
        <is>
          <t>finalist</t>
        </is>
      </c>
      <c r="F21" t="inlineStr">
        <is>
          <t>5×6</t>
        </is>
      </c>
      <c r="G21" t="n">
        <v>30</v>
      </c>
      <c r="H21" t="n">
        <v>75</v>
      </c>
      <c r="I21" t="n">
        <v>2.31</v>
      </c>
      <c r="J21" t="n">
        <v>2.39</v>
      </c>
      <c r="K21" t="n">
        <v>9</v>
      </c>
      <c r="L21" s="2" t="n">
        <v>0.979</v>
      </c>
      <c r="M21" s="2" t="n">
        <v>0.021</v>
      </c>
      <c r="N21" s="2" t="n">
        <v>0</v>
      </c>
      <c r="O21" s="2" t="n">
        <v>0.979</v>
      </c>
      <c r="P21" s="2" t="n">
        <v>0.995</v>
      </c>
      <c r="Q21" s="2" t="n">
        <v>0.006</v>
      </c>
    </row>
    <row r="22">
      <c r="A22" t="n">
        <v>21</v>
      </c>
      <c r="B22" t="inlineStr">
        <is>
          <t>Kolay</t>
        </is>
      </c>
      <c r="C22" t="inlineStr"/>
      <c r="D22" t="inlineStr">
        <is>
          <t>C21-37f1c6f3</t>
        </is>
      </c>
      <c r="E22" t="inlineStr">
        <is>
          <t>finalist</t>
        </is>
      </c>
      <c r="F22" t="inlineStr">
        <is>
          <t>5×6</t>
        </is>
      </c>
      <c r="G22" t="n">
        <v>30</v>
      </c>
      <c r="H22" t="n">
        <v>55</v>
      </c>
      <c r="I22" t="n">
        <v>2.08</v>
      </c>
      <c r="J22" t="n">
        <v>1.77</v>
      </c>
      <c r="K22" t="n">
        <v>11</v>
      </c>
      <c r="L22" s="2" t="n">
        <v>0.982</v>
      </c>
      <c r="M22" s="2" t="n">
        <v>0.018</v>
      </c>
      <c r="N22" s="2" t="n">
        <v>0</v>
      </c>
      <c r="O22" s="2" t="n">
        <v>0.965</v>
      </c>
      <c r="P22" s="2" t="n">
        <v>0.984</v>
      </c>
      <c r="Q22" s="2" t="n">
        <v>0.043</v>
      </c>
    </row>
    <row r="23">
      <c r="A23" t="n">
        <v>22</v>
      </c>
      <c r="B23" t="inlineStr">
        <is>
          <t>Zor</t>
        </is>
      </c>
      <c r="C23" t="inlineStr"/>
      <c r="D23" t="inlineStr">
        <is>
          <t>C22-5614b55b</t>
        </is>
      </c>
      <c r="E23" t="inlineStr">
        <is>
          <t>finalist</t>
        </is>
      </c>
      <c r="F23" t="inlineStr">
        <is>
          <t>6×6</t>
        </is>
      </c>
      <c r="G23" t="n">
        <v>33</v>
      </c>
      <c r="H23" t="n">
        <v>70</v>
      </c>
      <c r="I23" t="n">
        <v>1.6</v>
      </c>
      <c r="J23" t="n">
        <v>3.9</v>
      </c>
      <c r="K23" t="n">
        <v>5</v>
      </c>
      <c r="L23" s="2" t="n">
        <v>0.841</v>
      </c>
      <c r="M23" s="2" t="n">
        <v>0.159</v>
      </c>
      <c r="N23" s="2" t="n">
        <v>0</v>
      </c>
      <c r="O23" s="2" t="n">
        <v>0.442</v>
      </c>
      <c r="P23" s="2" t="n">
        <v>0.844</v>
      </c>
      <c r="Q23" s="2" t="n">
        <v>0.028</v>
      </c>
      <c r="R23" t="n">
        <v>0.86</v>
      </c>
    </row>
    <row r="24">
      <c r="A24" t="n">
        <v>23</v>
      </c>
      <c r="B24" t="inlineStr">
        <is>
          <t>Tanıtım</t>
        </is>
      </c>
      <c r="C24" t="inlineStr">
        <is>
          <t>çekiç</t>
        </is>
      </c>
      <c r="D24" t="inlineStr">
        <is>
          <t>C23-7cd79db1</t>
        </is>
      </c>
      <c r="E24" t="inlineStr">
        <is>
          <t>finalist</t>
        </is>
      </c>
      <c r="F24" t="inlineStr">
        <is>
          <t>5×5</t>
        </is>
      </c>
      <c r="G24" t="n">
        <v>25</v>
      </c>
      <c r="H24" t="n">
        <v>45</v>
      </c>
      <c r="I24" t="n">
        <v>2.21</v>
      </c>
      <c r="J24" t="n">
        <v>1.33</v>
      </c>
      <c r="K24" t="n">
        <v>12</v>
      </c>
      <c r="L24" s="2" t="n">
        <v>0.982</v>
      </c>
      <c r="M24" s="2" t="n">
        <v>0.018</v>
      </c>
      <c r="N24" s="2" t="n">
        <v>0</v>
      </c>
      <c r="O24" s="2" t="n">
        <v>0.982</v>
      </c>
      <c r="P24" s="2" t="n">
        <v>0.991</v>
      </c>
      <c r="Q24" s="2" t="n">
        <v>0.03</v>
      </c>
    </row>
    <row r="25">
      <c r="A25" t="n">
        <v>24</v>
      </c>
      <c r="B25" t="inlineStr">
        <is>
          <t>Orta</t>
        </is>
      </c>
      <c r="C25" t="inlineStr"/>
      <c r="D25" t="inlineStr">
        <is>
          <t>C24-198d2289</t>
        </is>
      </c>
      <c r="E25" t="inlineStr">
        <is>
          <t>finalist</t>
        </is>
      </c>
      <c r="F25" t="inlineStr">
        <is>
          <t>6×6</t>
        </is>
      </c>
      <c r="G25" t="n">
        <v>35</v>
      </c>
      <c r="H25" t="n">
        <v>65</v>
      </c>
      <c r="I25" t="n">
        <v>1.56</v>
      </c>
      <c r="J25" t="n">
        <v>3.06</v>
      </c>
      <c r="K25" t="n">
        <v>8</v>
      </c>
      <c r="L25" s="2" t="n">
        <v>0.958</v>
      </c>
      <c r="M25" s="2" t="n">
        <v>0.042</v>
      </c>
      <c r="N25" s="2" t="n">
        <v>0</v>
      </c>
      <c r="O25" s="2" t="n">
        <v>0.897</v>
      </c>
      <c r="P25" s="2" t="n">
        <v>0.965</v>
      </c>
      <c r="Q25" s="2" t="n">
        <v>0.082</v>
      </c>
      <c r="R25" t="n">
        <v>0.7</v>
      </c>
    </row>
    <row r="26">
      <c r="A26" t="n">
        <v>25</v>
      </c>
      <c r="B26" t="inlineStr">
        <is>
          <t>Zor</t>
        </is>
      </c>
      <c r="C26" t="inlineStr"/>
      <c r="D26" t="inlineStr">
        <is>
          <t>C25-24c94cef</t>
        </is>
      </c>
      <c r="E26" t="inlineStr">
        <is>
          <t>finalist</t>
        </is>
      </c>
      <c r="F26" t="inlineStr">
        <is>
          <t>6×6</t>
        </is>
      </c>
      <c r="G26" t="n">
        <v>33</v>
      </c>
      <c r="H26" t="n">
        <v>75</v>
      </c>
      <c r="I26" t="n">
        <v>1.71</v>
      </c>
      <c r="J26" t="n">
        <v>3.93</v>
      </c>
      <c r="K26" t="n">
        <v>6</v>
      </c>
      <c r="L26" s="2" t="n">
        <v>0.88</v>
      </c>
      <c r="M26" s="2" t="n">
        <v>0.12</v>
      </c>
      <c r="N26" s="2" t="n">
        <v>0</v>
      </c>
      <c r="O26" s="2" t="n">
        <v>0.528</v>
      </c>
      <c r="P26" s="2" t="n">
        <v>0.884</v>
      </c>
      <c r="Q26" s="2" t="n">
        <v>0.027</v>
      </c>
      <c r="R26" t="n">
        <v>0.61</v>
      </c>
    </row>
    <row r="27">
      <c r="A27" t="n">
        <v>26</v>
      </c>
      <c r="B27" t="inlineStr">
        <is>
          <t>Nefes</t>
        </is>
      </c>
      <c r="C27" t="inlineStr"/>
      <c r="D27" t="inlineStr">
        <is>
          <t>C26-31e86877</t>
        </is>
      </c>
      <c r="E27" t="inlineStr">
        <is>
          <t>finalist</t>
        </is>
      </c>
      <c r="F27" t="inlineStr">
        <is>
          <t>5×6</t>
        </is>
      </c>
      <c r="G27" t="n">
        <v>30</v>
      </c>
      <c r="H27" t="n">
        <v>55</v>
      </c>
      <c r="I27" t="n">
        <v>2.07</v>
      </c>
      <c r="J27" t="n">
        <v>1.79</v>
      </c>
      <c r="K27" t="n">
        <v>12</v>
      </c>
      <c r="L27" s="2" t="n">
        <v>0.986</v>
      </c>
      <c r="M27" s="2" t="n">
        <v>0.014</v>
      </c>
      <c r="N27" s="2" t="n">
        <v>0</v>
      </c>
      <c r="O27" s="2" t="n">
        <v>0.971</v>
      </c>
      <c r="P27" s="2" t="n">
        <v>0.986</v>
      </c>
      <c r="Q27" s="2" t="n">
        <v>0.036</v>
      </c>
    </row>
    <row r="28">
      <c r="A28" t="n">
        <v>27</v>
      </c>
      <c r="B28" t="inlineStr">
        <is>
          <t>Orta</t>
        </is>
      </c>
      <c r="C28" t="inlineStr"/>
      <c r="D28" t="inlineStr">
        <is>
          <t>C27-71616439</t>
        </is>
      </c>
      <c r="E28" t="inlineStr">
        <is>
          <t>finalist</t>
        </is>
      </c>
      <c r="F28" t="inlineStr">
        <is>
          <t>5×6</t>
        </is>
      </c>
      <c r="G28" t="n">
        <v>29</v>
      </c>
      <c r="H28" t="n">
        <v>55</v>
      </c>
      <c r="I28" t="n">
        <v>1.75</v>
      </c>
      <c r="J28" t="n">
        <v>3.01</v>
      </c>
      <c r="K28" t="n">
        <v>8</v>
      </c>
      <c r="L28" s="2" t="n">
        <v>0.946</v>
      </c>
      <c r="M28" s="2" t="n">
        <v>0.054</v>
      </c>
      <c r="N28" s="2" t="n">
        <v>0</v>
      </c>
      <c r="O28" s="2" t="n">
        <v>0.898</v>
      </c>
      <c r="P28" s="2" t="n">
        <v>0.96</v>
      </c>
      <c r="Q28" s="2" t="n">
        <v>0.098</v>
      </c>
      <c r="R28" t="n">
        <v>1</v>
      </c>
    </row>
    <row r="29">
      <c r="A29" t="n">
        <v>28</v>
      </c>
      <c r="B29" t="inlineStr">
        <is>
          <t>Zor</t>
        </is>
      </c>
      <c r="C29" t="inlineStr"/>
      <c r="D29" t="inlineStr">
        <is>
          <t>C28-d58077d1</t>
        </is>
      </c>
      <c r="E29" t="inlineStr">
        <is>
          <t>finalist</t>
        </is>
      </c>
      <c r="F29" t="inlineStr">
        <is>
          <t>6×6</t>
        </is>
      </c>
      <c r="G29" t="n">
        <v>33</v>
      </c>
      <c r="H29" t="n">
        <v>50</v>
      </c>
      <c r="I29" t="n">
        <v>1.16</v>
      </c>
      <c r="J29" t="n">
        <v>3.82</v>
      </c>
      <c r="K29" t="n">
        <v>7</v>
      </c>
      <c r="L29" s="2" t="n">
        <v>0.77</v>
      </c>
      <c r="M29" s="2" t="n">
        <v>0.23</v>
      </c>
      <c r="N29" s="2" t="n">
        <v>0</v>
      </c>
      <c r="O29" s="2" t="n">
        <v>0.482</v>
      </c>
      <c r="P29" s="2" t="n">
        <v>0.793</v>
      </c>
      <c r="Q29" s="2" t="n">
        <v>0.16</v>
      </c>
      <c r="R29" t="n">
        <v>0.5600000000000001</v>
      </c>
    </row>
    <row r="30">
      <c r="A30" t="n">
        <v>29</v>
      </c>
      <c r="B30" t="inlineStr">
        <is>
          <t>Nefes</t>
        </is>
      </c>
      <c r="C30" t="inlineStr"/>
      <c r="D30" t="inlineStr">
        <is>
          <t>C29-2d9dcde3</t>
        </is>
      </c>
      <c r="E30" t="inlineStr">
        <is>
          <t>finalist</t>
        </is>
      </c>
      <c r="F30" t="inlineStr">
        <is>
          <t>5×5</t>
        </is>
      </c>
      <c r="G30" t="n">
        <v>25</v>
      </c>
      <c r="H30" t="n">
        <v>45</v>
      </c>
      <c r="I30" t="n">
        <v>2.09</v>
      </c>
      <c r="J30" t="n">
        <v>1.63</v>
      </c>
      <c r="K30" t="n">
        <v>11</v>
      </c>
      <c r="L30" s="2" t="n">
        <v>0.984</v>
      </c>
      <c r="M30" s="2" t="n">
        <v>0.016</v>
      </c>
      <c r="N30" s="2" t="n">
        <v>0</v>
      </c>
      <c r="O30" s="2" t="n">
        <v>0.965</v>
      </c>
      <c r="P30" s="2" t="n">
        <v>0.984</v>
      </c>
      <c r="Q30" s="2" t="n">
        <v>0.045</v>
      </c>
    </row>
    <row r="31">
      <c r="A31" t="n">
        <v>30</v>
      </c>
      <c r="B31" t="inlineStr">
        <is>
          <t>Çok zor</t>
        </is>
      </c>
      <c r="C31" t="inlineStr"/>
      <c r="D31" t="inlineStr">
        <is>
          <t>C30-37066ecb</t>
        </is>
      </c>
      <c r="E31" t="inlineStr">
        <is>
          <t>finalist</t>
        </is>
      </c>
      <c r="F31" t="inlineStr">
        <is>
          <t>6×7</t>
        </is>
      </c>
      <c r="G31" t="n">
        <v>39</v>
      </c>
      <c r="H31" t="n">
        <v>60</v>
      </c>
      <c r="I31" t="n">
        <v>1.08</v>
      </c>
      <c r="J31" t="n">
        <v>4.53</v>
      </c>
      <c r="K31" t="n">
        <v>6</v>
      </c>
      <c r="L31" s="2" t="n">
        <v>0.671</v>
      </c>
      <c r="M31" s="2" t="n">
        <v>0.329</v>
      </c>
      <c r="N31" s="2" t="n">
        <v>0</v>
      </c>
      <c r="O31" s="2" t="n">
        <v>0.336</v>
      </c>
      <c r="P31" s="2" t="n">
        <v>0.706</v>
      </c>
      <c r="Q31" s="2" t="n">
        <v>0.16</v>
      </c>
      <c r="R31" t="n">
        <v>0.78</v>
      </c>
    </row>
    <row r="32">
      <c r="A32" t="n">
        <v>31</v>
      </c>
      <c r="B32" t="inlineStr">
        <is>
          <t>Nefes</t>
        </is>
      </c>
      <c r="C32" t="inlineStr"/>
      <c r="D32" t="inlineStr">
        <is>
          <t>C31-ee07d843</t>
        </is>
      </c>
      <c r="E32" t="inlineStr">
        <is>
          <t>finalist</t>
        </is>
      </c>
      <c r="F32" t="inlineStr">
        <is>
          <t>4×5</t>
        </is>
      </c>
      <c r="G32" t="n">
        <v>20</v>
      </c>
      <c r="H32" t="n">
        <v>35</v>
      </c>
      <c r="I32" t="n">
        <v>2.17</v>
      </c>
      <c r="J32" t="n">
        <v>1.29</v>
      </c>
      <c r="K32" t="n">
        <v>10</v>
      </c>
      <c r="L32" s="2" t="n">
        <v>0.982</v>
      </c>
      <c r="M32" s="2" t="n">
        <v>0.018</v>
      </c>
      <c r="N32" s="2" t="n">
        <v>0</v>
      </c>
      <c r="O32" s="2" t="n">
        <v>0.967</v>
      </c>
      <c r="P32" s="2" t="n">
        <v>0.982</v>
      </c>
      <c r="Q32" s="2" t="n">
        <v>0.041</v>
      </c>
    </row>
    <row r="33">
      <c r="A33" t="n">
        <v>32</v>
      </c>
      <c r="B33" t="inlineStr">
        <is>
          <t>Zor</t>
        </is>
      </c>
      <c r="C33" t="inlineStr"/>
      <c r="D33" t="inlineStr">
        <is>
          <t>C32-89d50505</t>
        </is>
      </c>
      <c r="E33" t="inlineStr">
        <is>
          <t>finalist</t>
        </is>
      </c>
      <c r="F33" t="inlineStr">
        <is>
          <t>6×6</t>
        </is>
      </c>
      <c r="G33" t="n">
        <v>34</v>
      </c>
      <c r="H33" t="n">
        <v>50</v>
      </c>
      <c r="I33" t="n">
        <v>1.12</v>
      </c>
      <c r="J33" t="n">
        <v>3.85</v>
      </c>
      <c r="K33" t="n">
        <v>7</v>
      </c>
      <c r="L33" s="2" t="n">
        <v>0.795</v>
      </c>
      <c r="M33" s="2" t="n">
        <v>0.205</v>
      </c>
      <c r="N33" s="2" t="n">
        <v>0</v>
      </c>
      <c r="O33" s="2" t="n">
        <v>0.645</v>
      </c>
      <c r="P33" s="2" t="n">
        <v>0.837</v>
      </c>
      <c r="Q33" s="2" t="n">
        <v>0.2</v>
      </c>
      <c r="R33" t="n">
        <v>0.87</v>
      </c>
    </row>
    <row r="34">
      <c r="A34" t="n">
        <v>33</v>
      </c>
      <c r="B34" t="inlineStr">
        <is>
          <t>Orta</t>
        </is>
      </c>
      <c r="C34" t="inlineStr"/>
      <c r="D34" t="inlineStr">
        <is>
          <t>C33-18f6ab59</t>
        </is>
      </c>
      <c r="E34" t="inlineStr">
        <is>
          <t>finalist</t>
        </is>
      </c>
      <c r="F34" t="inlineStr">
        <is>
          <t>5×6</t>
        </is>
      </c>
      <c r="G34" t="n">
        <v>30</v>
      </c>
      <c r="H34" t="n">
        <v>60</v>
      </c>
      <c r="I34" t="n">
        <v>1.75</v>
      </c>
      <c r="J34" t="n">
        <v>2.76</v>
      </c>
      <c r="K34" t="n">
        <v>7</v>
      </c>
      <c r="L34" s="2" t="n">
        <v>0.956</v>
      </c>
      <c r="M34" s="2" t="n">
        <v>0.044</v>
      </c>
      <c r="N34" s="2" t="n">
        <v>0</v>
      </c>
      <c r="O34" s="2" t="n">
        <v>0.896</v>
      </c>
      <c r="P34" s="2" t="n">
        <v>0.969</v>
      </c>
      <c r="Q34" s="2" t="n">
        <v>0.08400000000000001</v>
      </c>
      <c r="R34" t="n">
        <v>0.98</v>
      </c>
    </row>
    <row r="35">
      <c r="A35" t="n">
        <v>34</v>
      </c>
      <c r="B35" t="inlineStr">
        <is>
          <t>Çok zor</t>
        </is>
      </c>
      <c r="C35" t="inlineStr"/>
      <c r="D35" t="inlineStr">
        <is>
          <t>—</t>
        </is>
      </c>
      <c r="E35" t="inlineStr">
        <is>
          <t>aday yok</t>
        </is>
      </c>
    </row>
    <row r="36">
      <c r="A36" t="n">
        <v>35</v>
      </c>
      <c r="B36" t="inlineStr">
        <is>
          <t>Nefes</t>
        </is>
      </c>
      <c r="C36" t="inlineStr"/>
      <c r="D36" t="inlineStr">
        <is>
          <t>C35-9255a195</t>
        </is>
      </c>
      <c r="E36" t="inlineStr">
        <is>
          <t>finalist</t>
        </is>
      </c>
      <c r="F36" t="inlineStr">
        <is>
          <t>5×5</t>
        </is>
      </c>
      <c r="G36" t="n">
        <v>24</v>
      </c>
      <c r="H36" t="n">
        <v>40</v>
      </c>
      <c r="I36" t="n">
        <v>2.03</v>
      </c>
      <c r="J36" t="n">
        <v>1.37</v>
      </c>
      <c r="K36" t="n">
        <v>12</v>
      </c>
      <c r="L36" s="2" t="n">
        <v>0.979</v>
      </c>
      <c r="M36" s="2" t="n">
        <v>0.021</v>
      </c>
      <c r="N36" s="2" t="n">
        <v>0</v>
      </c>
      <c r="O36" s="2" t="n">
        <v>0.965</v>
      </c>
      <c r="P36" s="2" t="n">
        <v>0.979</v>
      </c>
      <c r="Q36" s="2" t="n">
        <v>0.036</v>
      </c>
    </row>
    <row r="37">
      <c r="A37" t="n">
        <v>36</v>
      </c>
      <c r="B37" t="inlineStr">
        <is>
          <t>Zor</t>
        </is>
      </c>
      <c r="C37" t="inlineStr"/>
      <c r="D37" t="inlineStr">
        <is>
          <t>C36-a0e5098d</t>
        </is>
      </c>
      <c r="E37" t="inlineStr">
        <is>
          <t>finalist</t>
        </is>
      </c>
      <c r="F37" t="inlineStr">
        <is>
          <t>6×6</t>
        </is>
      </c>
      <c r="G37" t="n">
        <v>33</v>
      </c>
      <c r="H37" t="n">
        <v>50</v>
      </c>
      <c r="I37" t="n">
        <v>1.2</v>
      </c>
      <c r="J37" t="n">
        <v>3.49</v>
      </c>
      <c r="K37" t="n">
        <v>7</v>
      </c>
      <c r="L37" s="2" t="n">
        <v>0.785</v>
      </c>
      <c r="M37" s="2" t="n">
        <v>0.215</v>
      </c>
      <c r="N37" s="2" t="n">
        <v>0</v>
      </c>
      <c r="O37" s="2" t="n">
        <v>0.481</v>
      </c>
      <c r="P37" s="2" t="n">
        <v>0.799</v>
      </c>
      <c r="Q37" s="2" t="n">
        <v>0.173</v>
      </c>
      <c r="R37" t="n">
        <v>1</v>
      </c>
    </row>
    <row r="38">
      <c r="A38" t="n">
        <v>37</v>
      </c>
      <c r="B38" t="inlineStr">
        <is>
          <t>Orta</t>
        </is>
      </c>
      <c r="C38" t="inlineStr"/>
      <c r="D38" t="inlineStr">
        <is>
          <t>C37-d882b223</t>
        </is>
      </c>
      <c r="E38" t="inlineStr">
        <is>
          <t>finalist</t>
        </is>
      </c>
      <c r="F38" t="inlineStr">
        <is>
          <t>6×6</t>
        </is>
      </c>
      <c r="G38" t="n">
        <v>36</v>
      </c>
      <c r="H38" t="n">
        <v>65</v>
      </c>
      <c r="I38" t="n">
        <v>1.67</v>
      </c>
      <c r="J38" t="n">
        <v>2.99</v>
      </c>
      <c r="K38" t="n">
        <v>8</v>
      </c>
      <c r="L38" s="2" t="n">
        <v>0.9370000000000001</v>
      </c>
      <c r="M38" s="2" t="n">
        <v>0.063</v>
      </c>
      <c r="N38" s="2" t="n">
        <v>0</v>
      </c>
      <c r="O38" s="2" t="n">
        <v>0.872</v>
      </c>
      <c r="P38" s="2" t="n">
        <v>0.951</v>
      </c>
      <c r="Q38" s="2" t="n">
        <v>0.119</v>
      </c>
      <c r="R38" t="n">
        <v>0.6</v>
      </c>
    </row>
    <row r="39">
      <c r="A39" t="n">
        <v>38</v>
      </c>
      <c r="B39" t="inlineStr">
        <is>
          <t>Zor</t>
        </is>
      </c>
      <c r="C39" t="inlineStr"/>
      <c r="D39" t="inlineStr">
        <is>
          <t>C38-2935bf97</t>
        </is>
      </c>
      <c r="E39" t="inlineStr">
        <is>
          <t>finalist</t>
        </is>
      </c>
      <c r="F39" t="inlineStr">
        <is>
          <t>6×6</t>
        </is>
      </c>
      <c r="G39" t="n">
        <v>34</v>
      </c>
      <c r="H39" t="n">
        <v>65</v>
      </c>
      <c r="I39" t="n">
        <v>1.43</v>
      </c>
      <c r="J39" t="n">
        <v>3.98</v>
      </c>
      <c r="K39" t="n">
        <v>7</v>
      </c>
      <c r="L39" s="2" t="n">
        <v>0.8</v>
      </c>
      <c r="M39" s="2" t="n">
        <v>0.2</v>
      </c>
      <c r="N39" s="2" t="n">
        <v>0</v>
      </c>
      <c r="O39" s="2" t="n">
        <v>0.483</v>
      </c>
      <c r="P39" s="2" t="n">
        <v>0.801</v>
      </c>
      <c r="Q39" s="2" t="n">
        <v>0.047</v>
      </c>
      <c r="R39" t="n">
        <v>0.78</v>
      </c>
    </row>
    <row r="40">
      <c r="A40" t="n">
        <v>39</v>
      </c>
      <c r="B40" t="inlineStr">
        <is>
          <t>Nefes</t>
        </is>
      </c>
      <c r="C40" t="inlineStr"/>
      <c r="D40" t="inlineStr">
        <is>
          <t>C39-f54076df</t>
        </is>
      </c>
      <c r="E40" t="inlineStr">
        <is>
          <t>finalist</t>
        </is>
      </c>
      <c r="F40" t="inlineStr">
        <is>
          <t>5×5</t>
        </is>
      </c>
      <c r="G40" t="n">
        <v>24</v>
      </c>
      <c r="H40" t="n">
        <v>45</v>
      </c>
      <c r="I40" t="n">
        <v>2.03</v>
      </c>
      <c r="J40" t="n">
        <v>2.03</v>
      </c>
      <c r="K40" t="n">
        <v>9</v>
      </c>
      <c r="L40" s="2" t="n">
        <v>0.988</v>
      </c>
      <c r="M40" s="2" t="n">
        <v>0.012</v>
      </c>
      <c r="N40" s="2" t="n">
        <v>0</v>
      </c>
      <c r="O40" s="2" t="n">
        <v>0.966</v>
      </c>
      <c r="P40" s="2" t="n">
        <v>0.988</v>
      </c>
      <c r="Q40" s="2" t="n">
        <v>0.05</v>
      </c>
    </row>
    <row r="41">
      <c r="A41" t="n">
        <v>40</v>
      </c>
      <c r="B41" t="inlineStr">
        <is>
          <t>Çok zor</t>
        </is>
      </c>
      <c r="C41" t="inlineStr"/>
      <c r="D41" t="inlineStr">
        <is>
          <t>C40-35cef61b</t>
        </is>
      </c>
      <c r="E41" t="inlineStr">
        <is>
          <t>finalist</t>
        </is>
      </c>
      <c r="F41" t="inlineStr">
        <is>
          <t>6×7</t>
        </is>
      </c>
      <c r="G41" t="n">
        <v>38</v>
      </c>
      <c r="H41" t="n">
        <v>70</v>
      </c>
      <c r="I41" t="n">
        <v>1.18</v>
      </c>
      <c r="J41" t="n">
        <v>5.42</v>
      </c>
      <c r="K41" t="n">
        <v>6</v>
      </c>
      <c r="L41" s="2" t="n">
        <v>0.661</v>
      </c>
      <c r="M41" s="2" t="n">
        <v>0.339</v>
      </c>
      <c r="N41" s="2" t="n">
        <v>0</v>
      </c>
      <c r="O41" s="2" t="n">
        <v>0.299</v>
      </c>
      <c r="P41" s="2" t="n">
        <v>0.674</v>
      </c>
      <c r="Q41" s="2" t="n">
        <v>0.06900000000000001</v>
      </c>
      <c r="R4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2026-10-13T22:16:13Z</dcterms:created>
  <dcterms:modified xsi:type="dcterms:W3CDTF">2026-10-13T22:16:13Z</dcterms:modified>
</cp:coreProperties>
</file>